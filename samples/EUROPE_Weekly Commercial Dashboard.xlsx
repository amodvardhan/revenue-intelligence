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enue Data\"/>
    </mc:Choice>
  </mc:AlternateContent>
  <xr:revisionPtr revIDLastSave="0" documentId="13_ncr:1_{C8D6DEF6-18E2-4F91-88C3-A9AE334417ED}" xr6:coauthVersionLast="47" xr6:coauthVersionMax="47" xr10:uidLastSave="{00000000-0000-0000-0000-000000000000}"/>
  <bookViews>
    <workbookView xWindow="-120" yWindow="-120" windowWidth="20730" windowHeight="11040" xr2:uid="{7FA0EA29-B29C-4E6A-9B7B-5544169F0274}"/>
  </bookViews>
  <sheets>
    <sheet name="Sheet1" sheetId="36" r:id="rId1"/>
    <sheet name="Sheet8" sheetId="40" r:id="rId2"/>
    <sheet name="EN,NN,New Logo-CW" sheetId="6" state="hidden" r:id="rId3"/>
    <sheet name="Unfulfilled Allocation - CW" sheetId="7" state="hidden" r:id="rId4"/>
    <sheet name="EN,NN,NewLogo Under discussions" sheetId="9" state="hidden" r:id="rId5"/>
    <sheet name="Actual Changes-Signed" sheetId="18" state="hidden" r:id="rId6"/>
    <sheet name="Actual Changes-Extensions" sheetId="20" state="hidden" r:id="rId7"/>
    <sheet name="Goal" sheetId="15" state="hidden" r:id="rId8"/>
    <sheet name="Actual changes-EN,NN,New Logo" sheetId="21" state="hidden" r:id="rId9"/>
    <sheet name="Actual changes- Unfulfilled" sheetId="25" state="hidden" r:id="rId10"/>
  </sheets>
  <definedNames>
    <definedName name="_xlnm._FilterDatabase" localSheetId="9" hidden="1">'Actual changes- Unfulfilled'!$A$7:$W$12</definedName>
    <definedName name="_xlnm._FilterDatabase" localSheetId="8" hidden="1">'Actual changes-EN,NN,New Logo'!$A$7:$T$18</definedName>
    <definedName name="_xlnm._FilterDatabase" localSheetId="6" hidden="1">'Actual Changes-Extensions'!$B$7:$Y$17</definedName>
    <definedName name="_xlnm._FilterDatabase" localSheetId="5" hidden="1">'Actual Changes-Signed'!$B$10:$AM$283</definedName>
    <definedName name="_xlnm._FilterDatabase" localSheetId="4" hidden="1">'EN,NN,NewLogo Under discussions'!$A$3:$Q$80</definedName>
    <definedName name="_xlnm._FilterDatabase" localSheetId="7" hidden="1">Goal!$A$3:$F$83</definedName>
    <definedName name="Count_L" localSheetId="9">#REF!</definedName>
    <definedName name="Count_L" localSheetId="8">#REF!</definedName>
    <definedName name="Count_L" localSheetId="6">#REF!</definedName>
    <definedName name="Count_L" localSheetId="5">#REF!</definedName>
    <definedName name="Count_L">#REF!</definedName>
    <definedName name="GEO" localSheetId="9">#REF!</definedName>
    <definedName name="GEO" localSheetId="8">#REF!</definedName>
    <definedName name="GEO" localSheetId="6">#REF!</definedName>
    <definedName name="GEO" localSheetId="5">#REF!</definedName>
    <definedName name="GEO">#REF!</definedName>
    <definedName name="MC_OS" localSheetId="9">#REF!</definedName>
    <definedName name="MC_OS" localSheetId="8">#REF!</definedName>
    <definedName name="MC_OS" localSheetId="6">#REF!</definedName>
    <definedName name="MC_OS" localSheetId="5">#REF!</definedName>
    <definedName name="MC_OS">#REF!</definedName>
    <definedName name="MM" localSheetId="9">#REF!</definedName>
    <definedName name="MM" localSheetId="8">#REF!</definedName>
    <definedName name="MM" localSheetId="6">#REF!</definedName>
    <definedName name="MM" localSheetId="5">#REF!</definedName>
    <definedName name="MM">#REF!</definedName>
    <definedName name="P_Type" localSheetId="9">#REF!</definedName>
    <definedName name="P_Type" localSheetId="8">#REF!</definedName>
    <definedName name="P_Type" localSheetId="6">#REF!</definedName>
    <definedName name="P_Type" localSheetId="5">#REF!</definedName>
    <definedName name="P_Type">#REF!</definedName>
    <definedName name="SBU_AC" localSheetId="9">#REF!</definedName>
    <definedName name="SBU_AC" localSheetId="8">#REF!</definedName>
    <definedName name="SBU_AC" localSheetId="6">#REF!</definedName>
    <definedName name="SBU_AC" localSheetId="5">'Actual Changes-Signed'!$F$299:$F$406</definedName>
    <definedName name="SBU_AC">#REF!</definedName>
    <definedName name="SBU_IC" localSheetId="9">#REF!</definedName>
    <definedName name="SBU_IC" localSheetId="8">#REF!</definedName>
    <definedName name="SBU_IC" localSheetId="6">#REF!</definedName>
    <definedName name="SBU_IC" localSheetId="5">#REF!</definedName>
    <definedName name="SBU_IC">#REF!</definedName>
    <definedName name="SBU_IND" localSheetId="9">#REF!</definedName>
    <definedName name="SBU_IND" localSheetId="8">#REF!</definedName>
    <definedName name="SBU_IND" localSheetId="6">#REF!</definedName>
    <definedName name="SBU_IND" localSheetId="5">#REF!</definedName>
    <definedName name="SBU_IND">#REF!</definedName>
    <definedName name="SUB_I" localSheetId="9">#REF!</definedName>
    <definedName name="SUB_I" localSheetId="8">#REF!</definedName>
    <definedName name="SUB_I" localSheetId="6">#REF!</definedName>
    <definedName name="SUB_I" localSheetId="5">#REF!</definedName>
    <definedName name="SUB_I">#REF!</definedName>
    <definedName name="SUBCAT_ATC" localSheetId="9">#REF!</definedName>
    <definedName name="SUBCAT_ATC" localSheetId="8">#REF!</definedName>
    <definedName name="SUBCAT_ATC" localSheetId="6">#REF!</definedName>
    <definedName name="SUBCAT_ATC" localSheetId="5">#REF!</definedName>
    <definedName name="SUBCAT_ATC">#REF!</definedName>
    <definedName name="SUBCAT_OSD" localSheetId="9">#REF!</definedName>
    <definedName name="SUBCAT_OSD" localSheetId="8">#REF!</definedName>
    <definedName name="SUBCAT_OSD" localSheetId="6">#REF!</definedName>
    <definedName name="SUBCAT_OSD" localSheetId="5">#REF!</definedName>
    <definedName name="SUBCAT_OSD">#REF!</definedName>
    <definedName name="SUBCAT_OSRIU" localSheetId="9">#REF!</definedName>
    <definedName name="SUBCAT_OSRIU" localSheetId="8">#REF!</definedName>
    <definedName name="SUBCAT_OSRIU" localSheetId="6">#REF!</definedName>
    <definedName name="SUBCAT_OSRIU" localSheetId="5">#REF!</definedName>
    <definedName name="SUBCAT_OSRIU">#REF!</definedName>
    <definedName name="SUBCAT_OSTC" localSheetId="9">#REF!</definedName>
    <definedName name="SUBCAT_OSTC" localSheetId="8">#REF!</definedName>
    <definedName name="SUBCAT_OSTC" localSheetId="6">#REF!</definedName>
    <definedName name="SUBCAT_OSTC" localSheetId="5">#REF!</definedName>
    <definedName name="SUBCAT_OS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0" l="1"/>
  <c r="I10" i="40"/>
  <c r="H10" i="40"/>
  <c r="G10" i="40"/>
  <c r="F10" i="40"/>
  <c r="H5" i="40"/>
  <c r="G5" i="40"/>
  <c r="F5" i="40"/>
  <c r="E5" i="40"/>
  <c r="D5" i="40"/>
  <c r="F26" i="36" l="1"/>
  <c r="F40" i="36" l="1"/>
  <c r="F38" i="36"/>
  <c r="F36" i="36"/>
  <c r="F34" i="36"/>
  <c r="F32" i="36"/>
  <c r="F30" i="36"/>
  <c r="F28" i="36"/>
  <c r="F24" i="36"/>
  <c r="F22" i="36"/>
  <c r="F20" i="36"/>
  <c r="F18" i="36"/>
  <c r="F16" i="36"/>
  <c r="F14" i="36"/>
  <c r="F12" i="36"/>
  <c r="F10" i="36"/>
  <c r="F8" i="36"/>
  <c r="F6" i="36"/>
  <c r="F4" i="36"/>
  <c r="Q40" i="36" l="1"/>
  <c r="P40" i="36"/>
  <c r="O40" i="36"/>
  <c r="N40" i="36"/>
  <c r="M40" i="36"/>
  <c r="L40" i="36"/>
  <c r="K40" i="36"/>
  <c r="J40" i="36"/>
  <c r="I40" i="36"/>
  <c r="H40" i="36"/>
  <c r="G40" i="36"/>
  <c r="Q38" i="36"/>
  <c r="P38" i="36"/>
  <c r="O38" i="36"/>
  <c r="N38" i="36"/>
  <c r="M38" i="36"/>
  <c r="L38" i="36"/>
  <c r="K38" i="36"/>
  <c r="J38" i="36"/>
  <c r="I38" i="36"/>
  <c r="H38" i="36"/>
  <c r="G38" i="36"/>
  <c r="Q36" i="36"/>
  <c r="P36" i="36"/>
  <c r="O36" i="36"/>
  <c r="N36" i="36"/>
  <c r="M36" i="36"/>
  <c r="L36" i="36"/>
  <c r="K36" i="36"/>
  <c r="J36" i="36"/>
  <c r="I36" i="36"/>
  <c r="H36" i="36"/>
  <c r="G36" i="36"/>
  <c r="Q34" i="36"/>
  <c r="P34" i="36"/>
  <c r="O34" i="36"/>
  <c r="N34" i="36"/>
  <c r="M34" i="36"/>
  <c r="L34" i="36"/>
  <c r="K34" i="36"/>
  <c r="J34" i="36"/>
  <c r="I34" i="36"/>
  <c r="H34" i="36"/>
  <c r="G34" i="36"/>
  <c r="Q32" i="36"/>
  <c r="P32" i="36"/>
  <c r="O32" i="36"/>
  <c r="N32" i="36"/>
  <c r="M32" i="36"/>
  <c r="L32" i="36"/>
  <c r="K32" i="36"/>
  <c r="J32" i="36"/>
  <c r="I32" i="36"/>
  <c r="H32" i="36"/>
  <c r="G32" i="36"/>
  <c r="Q30" i="36"/>
  <c r="P30" i="36"/>
  <c r="O30" i="36"/>
  <c r="N30" i="36"/>
  <c r="M30" i="36"/>
  <c r="L30" i="36"/>
  <c r="K30" i="36"/>
  <c r="J30" i="36"/>
  <c r="I30" i="36"/>
  <c r="H30" i="36"/>
  <c r="G30" i="36"/>
  <c r="Q28" i="36"/>
  <c r="P28" i="36"/>
  <c r="O28" i="36"/>
  <c r="N28" i="36"/>
  <c r="M28" i="36"/>
  <c r="L28" i="36"/>
  <c r="K28" i="36"/>
  <c r="J28" i="36"/>
  <c r="I28" i="36"/>
  <c r="H28" i="36"/>
  <c r="G28" i="36"/>
  <c r="Q26" i="36"/>
  <c r="P26" i="36"/>
  <c r="O26" i="36"/>
  <c r="N26" i="36"/>
  <c r="M26" i="36"/>
  <c r="L26" i="36"/>
  <c r="K26" i="36"/>
  <c r="J26" i="36"/>
  <c r="I26" i="36"/>
  <c r="H26" i="36"/>
  <c r="G26" i="36"/>
  <c r="Q24" i="36"/>
  <c r="P24" i="36"/>
  <c r="O24" i="36"/>
  <c r="N24" i="36"/>
  <c r="M24" i="36"/>
  <c r="L24" i="36"/>
  <c r="K24" i="36"/>
  <c r="J24" i="36"/>
  <c r="I24" i="36"/>
  <c r="H24" i="36"/>
  <c r="G24" i="36"/>
  <c r="Q22" i="36"/>
  <c r="P22" i="36"/>
  <c r="O22" i="36"/>
  <c r="N22" i="36"/>
  <c r="M22" i="36"/>
  <c r="L22" i="36"/>
  <c r="K22" i="36"/>
  <c r="J22" i="36"/>
  <c r="I22" i="36"/>
  <c r="H22" i="36"/>
  <c r="G22" i="36"/>
  <c r="Q20" i="36"/>
  <c r="P20" i="36"/>
  <c r="O20" i="36"/>
  <c r="N20" i="36"/>
  <c r="M20" i="36"/>
  <c r="L20" i="36"/>
  <c r="K20" i="36"/>
  <c r="J20" i="36"/>
  <c r="I20" i="36"/>
  <c r="H20" i="36"/>
  <c r="G20" i="36"/>
  <c r="Q18" i="36"/>
  <c r="P18" i="36"/>
  <c r="O18" i="36"/>
  <c r="N18" i="36"/>
  <c r="M18" i="36"/>
  <c r="L18" i="36"/>
  <c r="K18" i="36"/>
  <c r="J18" i="36"/>
  <c r="I18" i="36"/>
  <c r="H18" i="36"/>
  <c r="G18" i="36"/>
  <c r="Q16" i="36"/>
  <c r="P16" i="36"/>
  <c r="O16" i="36"/>
  <c r="N16" i="36"/>
  <c r="M16" i="36"/>
  <c r="L16" i="36"/>
  <c r="K16" i="36"/>
  <c r="J16" i="36"/>
  <c r="I16" i="36"/>
  <c r="H16" i="36"/>
  <c r="G16" i="36"/>
  <c r="Q14" i="36"/>
  <c r="P14" i="36"/>
  <c r="O14" i="36"/>
  <c r="N14" i="36"/>
  <c r="M14" i="36"/>
  <c r="L14" i="36"/>
  <c r="K14" i="36"/>
  <c r="J14" i="36"/>
  <c r="I14" i="36"/>
  <c r="H14" i="36"/>
  <c r="G14" i="36"/>
  <c r="Q12" i="36"/>
  <c r="P12" i="36"/>
  <c r="O12" i="36"/>
  <c r="N12" i="36"/>
  <c r="M12" i="36"/>
  <c r="L12" i="36"/>
  <c r="K12" i="36"/>
  <c r="J12" i="36"/>
  <c r="I12" i="36"/>
  <c r="H12" i="36"/>
  <c r="G12" i="36"/>
  <c r="Q10" i="36"/>
  <c r="P10" i="36"/>
  <c r="O10" i="36"/>
  <c r="N10" i="36"/>
  <c r="M10" i="36"/>
  <c r="L10" i="36"/>
  <c r="K10" i="36"/>
  <c r="J10" i="36"/>
  <c r="I10" i="36"/>
  <c r="H10" i="36"/>
  <c r="G10" i="36"/>
  <c r="Q8" i="36"/>
  <c r="P8" i="36"/>
  <c r="O8" i="36"/>
  <c r="N8" i="36"/>
  <c r="M8" i="36"/>
  <c r="L8" i="36"/>
  <c r="K8" i="36"/>
  <c r="J8" i="36"/>
  <c r="I8" i="36"/>
  <c r="H8" i="36"/>
  <c r="G8" i="36"/>
  <c r="H6" i="36"/>
  <c r="I6" i="36"/>
  <c r="J6" i="36"/>
  <c r="K6" i="36"/>
  <c r="L6" i="36"/>
  <c r="M6" i="36"/>
  <c r="N6" i="36"/>
  <c r="O6" i="36"/>
  <c r="P6" i="36"/>
  <c r="Q6" i="36"/>
  <c r="G6" i="36"/>
  <c r="H4" i="36"/>
  <c r="I4" i="36"/>
  <c r="J4" i="36"/>
  <c r="K4" i="36"/>
  <c r="L4" i="36"/>
  <c r="M4" i="36"/>
  <c r="N4" i="36"/>
  <c r="O4" i="36"/>
  <c r="P4" i="36"/>
  <c r="Q4" i="36"/>
  <c r="F3" i="36" l="1"/>
  <c r="G4" i="36" s="1"/>
  <c r="AO5" i="7" l="1"/>
  <c r="AP5" i="7"/>
  <c r="AQ5" i="7"/>
  <c r="AR5" i="7"/>
  <c r="Z11" i="21" l="1"/>
  <c r="Z12" i="21"/>
  <c r="Z8" i="21"/>
  <c r="A8" i="20"/>
  <c r="A9" i="20"/>
  <c r="A10" i="20"/>
  <c r="AA11" i="21" l="1"/>
  <c r="Z9" i="21"/>
  <c r="Z10" i="21"/>
  <c r="AA12" i="21"/>
  <c r="AA10" i="21"/>
  <c r="AA9" i="20"/>
  <c r="AB9" i="20"/>
  <c r="Z13" i="21"/>
  <c r="Z14" i="21"/>
  <c r="Z15" i="21"/>
  <c r="AA8" i="25" l="1"/>
  <c r="Z8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AA17" i="21"/>
  <c r="AA16" i="21"/>
  <c r="AA15" i="21"/>
  <c r="AA14" i="21"/>
  <c r="AA13" i="21"/>
  <c r="AA9" i="21"/>
  <c r="AA8" i="21"/>
  <c r="AA102" i="20"/>
  <c r="AA101" i="20"/>
  <c r="AA100" i="20"/>
  <c r="AA99" i="20"/>
  <c r="AA98" i="20"/>
  <c r="AA97" i="20"/>
  <c r="AA96" i="20"/>
  <c r="AA95" i="20"/>
  <c r="AA94" i="20"/>
  <c r="AA93" i="20"/>
  <c r="AA92" i="20"/>
  <c r="AA91" i="20"/>
  <c r="AA90" i="20"/>
  <c r="AA89" i="20"/>
  <c r="AA88" i="20"/>
  <c r="AA87" i="20"/>
  <c r="AA86" i="20"/>
  <c r="AA85" i="20"/>
  <c r="AA84" i="20"/>
  <c r="AA83" i="20"/>
  <c r="AA82" i="20"/>
  <c r="AA81" i="20"/>
  <c r="AA80" i="20"/>
  <c r="AA79" i="20"/>
  <c r="AA78" i="20"/>
  <c r="AA77" i="20"/>
  <c r="AA76" i="20"/>
  <c r="AA75" i="20"/>
  <c r="AA74" i="20"/>
  <c r="AA73" i="20"/>
  <c r="AA72" i="20"/>
  <c r="AA71" i="20"/>
  <c r="AA70" i="20"/>
  <c r="AA69" i="20"/>
  <c r="AA68" i="20"/>
  <c r="AA67" i="20"/>
  <c r="AA66" i="20"/>
  <c r="AA65" i="20"/>
  <c r="AA64" i="20"/>
  <c r="AA63" i="20"/>
  <c r="AA62" i="20"/>
  <c r="AA61" i="20"/>
  <c r="AA60" i="20"/>
  <c r="AA59" i="20"/>
  <c r="AA58" i="20"/>
  <c r="AA57" i="20"/>
  <c r="AA56" i="20"/>
  <c r="AA55" i="20"/>
  <c r="AA54" i="20"/>
  <c r="AA53" i="20"/>
  <c r="AA52" i="20"/>
  <c r="AA51" i="20"/>
  <c r="AA50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25" i="20"/>
  <c r="AA24" i="20"/>
  <c r="AA23" i="20"/>
  <c r="AA22" i="20"/>
  <c r="AA21" i="20"/>
  <c r="AA20" i="20"/>
  <c r="AA19" i="20"/>
  <c r="AA18" i="20"/>
  <c r="AA17" i="20"/>
  <c r="AB16" i="20"/>
  <c r="AA16" i="20"/>
  <c r="A16" i="20"/>
  <c r="AB15" i="20"/>
  <c r="AA15" i="20"/>
  <c r="A15" i="20"/>
  <c r="AB14" i="20"/>
  <c r="AA14" i="20"/>
  <c r="A14" i="20"/>
  <c r="AB13" i="20"/>
  <c r="AA13" i="20"/>
  <c r="A13" i="20"/>
  <c r="AB12" i="20"/>
  <c r="AA12" i="20"/>
  <c r="A12" i="20"/>
  <c r="AB11" i="20"/>
  <c r="AA11" i="20"/>
  <c r="A11" i="20"/>
  <c r="AB10" i="20"/>
  <c r="AA10" i="20"/>
  <c r="AB8" i="20"/>
  <c r="AA8" i="20"/>
  <c r="AM407" i="18"/>
  <c r="AM406" i="18"/>
  <c r="AM405" i="18"/>
  <c r="AM404" i="18"/>
  <c r="AM403" i="18"/>
  <c r="AM402" i="18"/>
  <c r="AM401" i="18"/>
  <c r="AM400" i="18"/>
  <c r="AM399" i="18"/>
  <c r="AM398" i="18"/>
  <c r="AM397" i="18"/>
  <c r="AM396" i="18"/>
  <c r="AM395" i="18"/>
  <c r="AM394" i="18"/>
  <c r="AM393" i="18"/>
  <c r="AM392" i="18"/>
  <c r="AM391" i="18"/>
  <c r="AM390" i="18"/>
  <c r="AM389" i="18"/>
  <c r="AM388" i="18"/>
  <c r="AM387" i="18"/>
  <c r="AM386" i="18"/>
  <c r="AM385" i="18"/>
  <c r="AM384" i="18"/>
  <c r="AM383" i="18"/>
  <c r="AM382" i="18"/>
  <c r="AM381" i="18"/>
  <c r="AM380" i="18"/>
  <c r="AM379" i="18"/>
  <c r="AM378" i="18"/>
  <c r="AM377" i="18"/>
  <c r="AM376" i="18"/>
  <c r="AM375" i="18"/>
  <c r="AM374" i="18"/>
  <c r="AM373" i="18"/>
  <c r="AM372" i="18"/>
  <c r="AM371" i="18"/>
  <c r="AM370" i="18"/>
  <c r="AM369" i="18"/>
  <c r="AM368" i="18"/>
  <c r="AM367" i="18"/>
  <c r="AM366" i="18"/>
  <c r="AM365" i="18"/>
  <c r="AM364" i="18"/>
  <c r="AM363" i="18"/>
  <c r="AM362" i="18"/>
  <c r="AM361" i="18"/>
  <c r="AM360" i="18"/>
  <c r="AM359" i="18"/>
  <c r="AM358" i="18"/>
  <c r="AM357" i="18"/>
  <c r="AM356" i="18"/>
  <c r="AM355" i="18"/>
  <c r="AM354" i="18"/>
  <c r="AM353" i="18"/>
  <c r="AM352" i="18"/>
  <c r="AM351" i="18"/>
  <c r="AM350" i="18"/>
  <c r="AM349" i="18"/>
  <c r="AM348" i="18"/>
  <c r="AM347" i="18"/>
  <c r="AM346" i="18"/>
  <c r="AM345" i="18"/>
  <c r="AM344" i="18"/>
  <c r="AM343" i="18"/>
  <c r="AM342" i="18"/>
  <c r="AM341" i="18"/>
  <c r="AM340" i="18"/>
  <c r="AM339" i="18"/>
  <c r="AM338" i="18"/>
  <c r="AM337" i="18"/>
  <c r="AM336" i="18"/>
  <c r="AM335" i="18"/>
  <c r="AM334" i="18"/>
  <c r="AM333" i="18"/>
  <c r="AM332" i="18"/>
  <c r="AM331" i="18"/>
  <c r="AM330" i="18"/>
  <c r="AM329" i="18"/>
  <c r="AM328" i="18"/>
  <c r="AM327" i="18"/>
  <c r="AM326" i="18"/>
  <c r="AM325" i="18"/>
  <c r="AM324" i="18"/>
  <c r="AM323" i="18"/>
  <c r="AM322" i="18"/>
  <c r="AM321" i="18"/>
  <c r="AM320" i="18"/>
  <c r="AM319" i="18"/>
  <c r="AM318" i="18"/>
  <c r="AM317" i="18"/>
  <c r="AM316" i="18"/>
  <c r="AM315" i="18"/>
  <c r="AM314" i="18"/>
  <c r="AM313" i="18"/>
  <c r="AM312" i="18"/>
  <c r="AM311" i="18"/>
  <c r="AM310" i="18"/>
  <c r="AM309" i="18"/>
  <c r="AM308" i="18"/>
  <c r="AM307" i="18"/>
  <c r="AM306" i="18"/>
  <c r="AM305" i="18"/>
  <c r="AM304" i="18"/>
  <c r="AM303" i="18"/>
  <c r="AM302" i="18"/>
  <c r="AM301" i="18"/>
  <c r="AM300" i="18"/>
  <c r="AM299" i="18"/>
  <c r="AM298" i="18"/>
  <c r="AM297" i="18"/>
  <c r="AM296" i="18"/>
  <c r="AM295" i="18"/>
  <c r="AM294" i="18"/>
  <c r="AM293" i="18"/>
  <c r="AM292" i="18"/>
  <c r="AM291" i="18"/>
  <c r="AM290" i="18"/>
  <c r="AM289" i="18"/>
  <c r="AM288" i="18"/>
  <c r="AM287" i="18"/>
  <c r="AM286" i="18"/>
  <c r="AM285" i="18"/>
  <c r="AM284" i="18"/>
  <c r="AN283" i="18"/>
  <c r="AM283" i="18"/>
  <c r="A283" i="18"/>
  <c r="AN282" i="18"/>
  <c r="AM282" i="18"/>
  <c r="A282" i="18"/>
  <c r="AN281" i="18"/>
  <c r="AM281" i="18"/>
  <c r="A281" i="18"/>
  <c r="AN280" i="18"/>
  <c r="AM280" i="18"/>
  <c r="A280" i="18"/>
  <c r="AN279" i="18"/>
  <c r="AM279" i="18"/>
  <c r="A279" i="18"/>
  <c r="AN278" i="18"/>
  <c r="AM278" i="18"/>
  <c r="A278" i="18"/>
  <c r="AN277" i="18"/>
  <c r="AM277" i="18"/>
  <c r="A277" i="18"/>
  <c r="AN276" i="18"/>
  <c r="AM276" i="18"/>
  <c r="A276" i="18"/>
  <c r="AN275" i="18"/>
  <c r="AM275" i="18"/>
  <c r="A275" i="18"/>
  <c r="AN274" i="18"/>
  <c r="AM274" i="18"/>
  <c r="A274" i="18"/>
  <c r="AN273" i="18"/>
  <c r="AM273" i="18"/>
  <c r="A273" i="18"/>
  <c r="AN272" i="18"/>
  <c r="AM272" i="18"/>
  <c r="A272" i="18"/>
  <c r="AN271" i="18"/>
  <c r="AM271" i="18"/>
  <c r="A271" i="18"/>
  <c r="AN270" i="18"/>
  <c r="AM270" i="18"/>
  <c r="A270" i="18"/>
  <c r="AN269" i="18"/>
  <c r="AM269" i="18"/>
  <c r="A269" i="18"/>
  <c r="AN268" i="18"/>
  <c r="AM268" i="18"/>
  <c r="A268" i="18"/>
  <c r="AN267" i="18"/>
  <c r="AM267" i="18"/>
  <c r="A267" i="18"/>
  <c r="AN266" i="18"/>
  <c r="AM266" i="18"/>
  <c r="A266" i="18"/>
  <c r="AN265" i="18"/>
  <c r="AM265" i="18"/>
  <c r="A265" i="18"/>
  <c r="AN264" i="18"/>
  <c r="AM264" i="18"/>
  <c r="A264" i="18"/>
  <c r="AN263" i="18"/>
  <c r="AM263" i="18"/>
  <c r="A263" i="18"/>
  <c r="AN262" i="18"/>
  <c r="AM262" i="18"/>
  <c r="A262" i="18"/>
  <c r="AN261" i="18"/>
  <c r="AM261" i="18"/>
  <c r="A261" i="18"/>
  <c r="AN260" i="18"/>
  <c r="AM260" i="18"/>
  <c r="A260" i="18"/>
  <c r="AN259" i="18"/>
  <c r="AM259" i="18"/>
  <c r="A259" i="18"/>
  <c r="AN258" i="18"/>
  <c r="AM258" i="18"/>
  <c r="A258" i="18"/>
  <c r="AN257" i="18"/>
  <c r="AM257" i="18"/>
  <c r="A257" i="18"/>
  <c r="AN256" i="18"/>
  <c r="AM256" i="18"/>
  <c r="A256" i="18"/>
  <c r="AN255" i="18"/>
  <c r="AM255" i="18"/>
  <c r="A255" i="18"/>
  <c r="AN254" i="18"/>
  <c r="AM254" i="18"/>
  <c r="A254" i="18"/>
  <c r="AN253" i="18"/>
  <c r="AM253" i="18"/>
  <c r="A253" i="18"/>
  <c r="AN252" i="18"/>
  <c r="AM252" i="18"/>
  <c r="A252" i="18"/>
  <c r="AN251" i="18"/>
  <c r="AM251" i="18"/>
  <c r="A251" i="18"/>
  <c r="AN250" i="18"/>
  <c r="AM250" i="18"/>
  <c r="A250" i="18"/>
  <c r="AN249" i="18"/>
  <c r="AM249" i="18"/>
  <c r="A249" i="18"/>
  <c r="AN248" i="18"/>
  <c r="AM248" i="18"/>
  <c r="A248" i="18"/>
  <c r="AN247" i="18"/>
  <c r="AM247" i="18"/>
  <c r="A247" i="18"/>
  <c r="AN246" i="18"/>
  <c r="AM246" i="18"/>
  <c r="A246" i="18"/>
  <c r="AN245" i="18"/>
  <c r="AM245" i="18"/>
  <c r="A245" i="18"/>
  <c r="AN244" i="18"/>
  <c r="AM244" i="18"/>
  <c r="A244" i="18"/>
  <c r="AN243" i="18"/>
  <c r="AM243" i="18"/>
  <c r="A243" i="18"/>
  <c r="AN242" i="18"/>
  <c r="AM242" i="18"/>
  <c r="A242" i="18"/>
  <c r="AN241" i="18"/>
  <c r="AM241" i="18"/>
  <c r="A241" i="18"/>
  <c r="AN240" i="18"/>
  <c r="AM240" i="18"/>
  <c r="A240" i="18"/>
  <c r="AN239" i="18"/>
  <c r="AM239" i="18"/>
  <c r="A239" i="18"/>
  <c r="AN238" i="18"/>
  <c r="AM238" i="18"/>
  <c r="A238" i="18"/>
  <c r="AN237" i="18"/>
  <c r="AM237" i="18"/>
  <c r="A237" i="18"/>
  <c r="AN236" i="18"/>
  <c r="AM236" i="18"/>
  <c r="A236" i="18"/>
  <c r="AN235" i="18"/>
  <c r="AM235" i="18"/>
  <c r="A235" i="18"/>
  <c r="AN234" i="18"/>
  <c r="AM234" i="18"/>
  <c r="A234" i="18"/>
  <c r="AN233" i="18"/>
  <c r="AM233" i="18"/>
  <c r="A233" i="18"/>
  <c r="AN232" i="18"/>
  <c r="AM232" i="18"/>
  <c r="A232" i="18"/>
  <c r="AN231" i="18"/>
  <c r="AM231" i="18"/>
  <c r="A231" i="18"/>
  <c r="AN230" i="18"/>
  <c r="AM230" i="18"/>
  <c r="A230" i="18"/>
  <c r="AN229" i="18"/>
  <c r="AM229" i="18"/>
  <c r="A229" i="18"/>
  <c r="AN228" i="18"/>
  <c r="AM228" i="18"/>
  <c r="A228" i="18"/>
  <c r="AN227" i="18"/>
  <c r="AM227" i="18"/>
  <c r="A227" i="18"/>
  <c r="AN226" i="18"/>
  <c r="AM226" i="18"/>
  <c r="A226" i="18"/>
  <c r="AN225" i="18"/>
  <c r="AM225" i="18"/>
  <c r="A225" i="18"/>
  <c r="AN224" i="18"/>
  <c r="AM224" i="18"/>
  <c r="A224" i="18"/>
  <c r="AN223" i="18"/>
  <c r="AM223" i="18"/>
  <c r="A223" i="18"/>
  <c r="AN222" i="18"/>
  <c r="AM222" i="18"/>
  <c r="A222" i="18"/>
  <c r="AN221" i="18"/>
  <c r="AM221" i="18"/>
  <c r="A221" i="18"/>
  <c r="AN220" i="18"/>
  <c r="AM220" i="18"/>
  <c r="A220" i="18"/>
  <c r="AN219" i="18"/>
  <c r="AM219" i="18"/>
  <c r="A219" i="18"/>
  <c r="AN218" i="18"/>
  <c r="AM218" i="18"/>
  <c r="A218" i="18"/>
  <c r="AN217" i="18"/>
  <c r="AM217" i="18"/>
  <c r="A217" i="18"/>
  <c r="AN216" i="18"/>
  <c r="AM216" i="18"/>
  <c r="A216" i="18"/>
  <c r="AN215" i="18"/>
  <c r="AM215" i="18"/>
  <c r="A215" i="18"/>
  <c r="AN214" i="18"/>
  <c r="AM214" i="18"/>
  <c r="A214" i="18"/>
  <c r="AN213" i="18"/>
  <c r="AM213" i="18"/>
  <c r="A213" i="18"/>
  <c r="AN212" i="18"/>
  <c r="AM212" i="18"/>
  <c r="A212" i="18"/>
  <c r="AN211" i="18"/>
  <c r="AM211" i="18"/>
  <c r="A211" i="18"/>
  <c r="AN210" i="18"/>
  <c r="AM210" i="18"/>
  <c r="A210" i="18"/>
  <c r="AN209" i="18"/>
  <c r="AM209" i="18"/>
  <c r="A209" i="18"/>
  <c r="AN208" i="18"/>
  <c r="AM208" i="18"/>
  <c r="A208" i="18"/>
  <c r="AN207" i="18"/>
  <c r="AM207" i="18"/>
  <c r="A207" i="18"/>
  <c r="AN206" i="18"/>
  <c r="AM206" i="18"/>
  <c r="A206" i="18"/>
  <c r="AN205" i="18"/>
  <c r="AM205" i="18"/>
  <c r="A205" i="18"/>
  <c r="AN204" i="18"/>
  <c r="AM204" i="18"/>
  <c r="A204" i="18"/>
  <c r="AN203" i="18"/>
  <c r="AM203" i="18"/>
  <c r="A203" i="18"/>
  <c r="AN202" i="18"/>
  <c r="AM202" i="18"/>
  <c r="A202" i="18"/>
  <c r="AN201" i="18"/>
  <c r="AM201" i="18"/>
  <c r="A201" i="18"/>
  <c r="AN200" i="18"/>
  <c r="AM200" i="18"/>
  <c r="A200" i="18"/>
  <c r="AN199" i="18"/>
  <c r="AM199" i="18"/>
  <c r="A199" i="18"/>
  <c r="AN198" i="18"/>
  <c r="AM198" i="18"/>
  <c r="A198" i="18"/>
  <c r="AN197" i="18"/>
  <c r="AM197" i="18"/>
  <c r="A197" i="18"/>
  <c r="AN196" i="18"/>
  <c r="AM196" i="18"/>
  <c r="A196" i="18"/>
  <c r="AN195" i="18"/>
  <c r="AM195" i="18"/>
  <c r="A195" i="18"/>
  <c r="AN194" i="18"/>
  <c r="AM194" i="18"/>
  <c r="A194" i="18"/>
  <c r="AN193" i="18"/>
  <c r="AM193" i="18"/>
  <c r="A193" i="18"/>
  <c r="AN192" i="18"/>
  <c r="AM192" i="18"/>
  <c r="A192" i="18"/>
  <c r="AN191" i="18"/>
  <c r="AM191" i="18"/>
  <c r="A191" i="18"/>
  <c r="AN190" i="18"/>
  <c r="AM190" i="18"/>
  <c r="A190" i="18"/>
  <c r="AN189" i="18"/>
  <c r="AM189" i="18"/>
  <c r="A189" i="18"/>
  <c r="AN188" i="18"/>
  <c r="AM188" i="18"/>
  <c r="A188" i="18"/>
  <c r="AN187" i="18"/>
  <c r="AM187" i="18"/>
  <c r="A187" i="18"/>
  <c r="AN186" i="18"/>
  <c r="AM186" i="18"/>
  <c r="A186" i="18"/>
  <c r="AN185" i="18"/>
  <c r="AM185" i="18"/>
  <c r="A185" i="18"/>
  <c r="AN184" i="18"/>
  <c r="AM184" i="18"/>
  <c r="A184" i="18"/>
  <c r="AN183" i="18"/>
  <c r="AM183" i="18"/>
  <c r="A183" i="18"/>
  <c r="AN182" i="18"/>
  <c r="AM182" i="18"/>
  <c r="A182" i="18"/>
  <c r="AN181" i="18"/>
  <c r="AM181" i="18"/>
  <c r="A181" i="18"/>
  <c r="AN180" i="18"/>
  <c r="AM180" i="18"/>
  <c r="A180" i="18"/>
  <c r="AN179" i="18"/>
  <c r="AM179" i="18"/>
  <c r="A179" i="18"/>
  <c r="AN178" i="18"/>
  <c r="AM178" i="18"/>
  <c r="A178" i="18"/>
  <c r="AN177" i="18"/>
  <c r="AM177" i="18"/>
  <c r="A177" i="18"/>
  <c r="AN176" i="18"/>
  <c r="AM176" i="18"/>
  <c r="A176" i="18"/>
  <c r="AN175" i="18"/>
  <c r="AM175" i="18"/>
  <c r="A175" i="18"/>
  <c r="AN174" i="18"/>
  <c r="AM174" i="18"/>
  <c r="A174" i="18"/>
  <c r="AN173" i="18"/>
  <c r="AM173" i="18"/>
  <c r="A173" i="18"/>
  <c r="AN172" i="18"/>
  <c r="AM172" i="18"/>
  <c r="A172" i="18"/>
  <c r="AN171" i="18"/>
  <c r="AM171" i="18"/>
  <c r="A171" i="18"/>
  <c r="AN170" i="18"/>
  <c r="AM170" i="18"/>
  <c r="A170" i="18"/>
  <c r="AN169" i="18"/>
  <c r="AM169" i="18"/>
  <c r="A169" i="18"/>
  <c r="AN168" i="18"/>
  <c r="AM168" i="18"/>
  <c r="A168" i="18"/>
  <c r="AN167" i="18"/>
  <c r="AM167" i="18"/>
  <c r="A167" i="18"/>
  <c r="AN166" i="18"/>
  <c r="AM166" i="18"/>
  <c r="A166" i="18"/>
  <c r="AN165" i="18"/>
  <c r="AM165" i="18"/>
  <c r="A165" i="18"/>
  <c r="AN164" i="18"/>
  <c r="AM164" i="18"/>
  <c r="A164" i="18"/>
  <c r="AN163" i="18"/>
  <c r="AM163" i="18"/>
  <c r="A163" i="18"/>
  <c r="AN162" i="18"/>
  <c r="AM162" i="18"/>
  <c r="A162" i="18"/>
  <c r="AN161" i="18"/>
  <c r="AM161" i="18"/>
  <c r="A161" i="18"/>
  <c r="AN160" i="18"/>
  <c r="AM160" i="18"/>
  <c r="A160" i="18"/>
  <c r="AN159" i="18"/>
  <c r="AM159" i="18"/>
  <c r="A159" i="18"/>
  <c r="AN158" i="18"/>
  <c r="AM158" i="18"/>
  <c r="A158" i="18"/>
  <c r="AN157" i="18"/>
  <c r="AM157" i="18"/>
  <c r="A157" i="18"/>
  <c r="AN156" i="18"/>
  <c r="AM156" i="18"/>
  <c r="A156" i="18"/>
  <c r="AN155" i="18"/>
  <c r="AM155" i="18"/>
  <c r="A155" i="18"/>
  <c r="AN154" i="18"/>
  <c r="AM154" i="18"/>
  <c r="A154" i="18"/>
  <c r="AN153" i="18"/>
  <c r="AM153" i="18"/>
  <c r="A153" i="18"/>
  <c r="AN152" i="18"/>
  <c r="AM152" i="18"/>
  <c r="A152" i="18"/>
  <c r="AN151" i="18"/>
  <c r="AM151" i="18"/>
  <c r="A151" i="18"/>
  <c r="AN150" i="18"/>
  <c r="AM150" i="18"/>
  <c r="A150" i="18"/>
  <c r="AN149" i="18"/>
  <c r="AM149" i="18"/>
  <c r="A149" i="18"/>
  <c r="AN148" i="18"/>
  <c r="AM148" i="18"/>
  <c r="A148" i="18"/>
  <c r="AN147" i="18"/>
  <c r="AM147" i="18"/>
  <c r="A147" i="18"/>
  <c r="AN146" i="18"/>
  <c r="AM146" i="18"/>
  <c r="A146" i="18"/>
  <c r="AN145" i="18"/>
  <c r="AM145" i="18"/>
  <c r="A145" i="18"/>
  <c r="AN144" i="18"/>
  <c r="AM144" i="18"/>
  <c r="A144" i="18"/>
  <c r="AN143" i="18"/>
  <c r="AM143" i="18"/>
  <c r="A143" i="18"/>
  <c r="AN142" i="18"/>
  <c r="AM142" i="18"/>
  <c r="A142" i="18"/>
  <c r="AN141" i="18"/>
  <c r="AM141" i="18"/>
  <c r="A141" i="18"/>
  <c r="AN140" i="18"/>
  <c r="AM140" i="18"/>
  <c r="A140" i="18"/>
  <c r="AN139" i="18"/>
  <c r="AM139" i="18"/>
  <c r="A139" i="18"/>
  <c r="AN138" i="18"/>
  <c r="AM138" i="18"/>
  <c r="A138" i="18"/>
  <c r="AN137" i="18"/>
  <c r="AM137" i="18"/>
  <c r="A137" i="18"/>
  <c r="AN136" i="18"/>
  <c r="AM136" i="18"/>
  <c r="A136" i="18"/>
  <c r="AN135" i="18"/>
  <c r="AM135" i="18"/>
  <c r="A135" i="18"/>
  <c r="AN134" i="18"/>
  <c r="AM134" i="18"/>
  <c r="A134" i="18"/>
  <c r="AN133" i="18"/>
  <c r="AM133" i="18"/>
  <c r="A133" i="18"/>
  <c r="AN132" i="18"/>
  <c r="AM132" i="18"/>
  <c r="A132" i="18"/>
  <c r="AN131" i="18"/>
  <c r="AM131" i="18"/>
  <c r="A131" i="18"/>
  <c r="AN130" i="18"/>
  <c r="AM130" i="18"/>
  <c r="A130" i="18"/>
  <c r="AN129" i="18"/>
  <c r="AM129" i="18"/>
  <c r="A129" i="18"/>
  <c r="AN128" i="18"/>
  <c r="AM128" i="18"/>
  <c r="A128" i="18"/>
  <c r="AN127" i="18"/>
  <c r="AM127" i="18"/>
  <c r="A127" i="18"/>
  <c r="AN126" i="18"/>
  <c r="AM126" i="18"/>
  <c r="A126" i="18"/>
  <c r="AN125" i="18"/>
  <c r="AM125" i="18"/>
  <c r="A125" i="18"/>
  <c r="AN124" i="18"/>
  <c r="AM124" i="18"/>
  <c r="A124" i="18"/>
  <c r="AN123" i="18"/>
  <c r="AM123" i="18"/>
  <c r="A123" i="18"/>
  <c r="AN122" i="18"/>
  <c r="AM122" i="18"/>
  <c r="A122" i="18"/>
  <c r="AN121" i="18"/>
  <c r="AM121" i="18"/>
  <c r="A121" i="18"/>
  <c r="AN120" i="18"/>
  <c r="AM120" i="18"/>
  <c r="A120" i="18"/>
  <c r="AN119" i="18"/>
  <c r="AM119" i="18"/>
  <c r="A119" i="18"/>
  <c r="AN118" i="18"/>
  <c r="AM118" i="18"/>
  <c r="A118" i="18"/>
  <c r="AN117" i="18"/>
  <c r="AM117" i="18"/>
  <c r="A117" i="18"/>
  <c r="AN116" i="18"/>
  <c r="AM116" i="18"/>
  <c r="A116" i="18"/>
  <c r="AN115" i="18"/>
  <c r="AM115" i="18"/>
  <c r="A115" i="18"/>
  <c r="AN114" i="18"/>
  <c r="AM114" i="18"/>
  <c r="A114" i="18"/>
  <c r="AN113" i="18"/>
  <c r="AM113" i="18"/>
  <c r="A113" i="18"/>
  <c r="AN112" i="18"/>
  <c r="AM112" i="18"/>
  <c r="A112" i="18"/>
  <c r="AN111" i="18"/>
  <c r="AM111" i="18"/>
  <c r="A111" i="18"/>
  <c r="AN110" i="18"/>
  <c r="AM110" i="18"/>
  <c r="A110" i="18"/>
  <c r="AN109" i="18"/>
  <c r="AM109" i="18"/>
  <c r="A109" i="18"/>
  <c r="AN108" i="18"/>
  <c r="AM108" i="18"/>
  <c r="A108" i="18"/>
  <c r="AN107" i="18"/>
  <c r="AM107" i="18"/>
  <c r="A107" i="18"/>
  <c r="AN106" i="18"/>
  <c r="AM106" i="18"/>
  <c r="A106" i="18"/>
  <c r="AN105" i="18"/>
  <c r="AM105" i="18"/>
  <c r="A105" i="18"/>
  <c r="AN104" i="18"/>
  <c r="AM104" i="18"/>
  <c r="A104" i="18"/>
  <c r="AN103" i="18"/>
  <c r="AM103" i="18"/>
  <c r="A103" i="18"/>
  <c r="AN102" i="18"/>
  <c r="AM102" i="18"/>
  <c r="A102" i="18"/>
  <c r="AN101" i="18"/>
  <c r="AM101" i="18"/>
  <c r="A101" i="18"/>
  <c r="AN100" i="18"/>
  <c r="AM100" i="18"/>
  <c r="A100" i="18"/>
  <c r="AN99" i="18"/>
  <c r="AM99" i="18"/>
  <c r="A99" i="18"/>
  <c r="AN98" i="18"/>
  <c r="AM98" i="18"/>
  <c r="A98" i="18"/>
  <c r="AN97" i="18"/>
  <c r="AM97" i="18"/>
  <c r="A97" i="18"/>
  <c r="AN96" i="18"/>
  <c r="AM96" i="18"/>
  <c r="A96" i="18"/>
  <c r="AN95" i="18"/>
  <c r="AM95" i="18"/>
  <c r="A95" i="18"/>
  <c r="AN94" i="18"/>
  <c r="AM94" i="18"/>
  <c r="A94" i="18"/>
  <c r="AN93" i="18"/>
  <c r="AM93" i="18"/>
  <c r="A93" i="18"/>
  <c r="AN92" i="18"/>
  <c r="AM92" i="18"/>
  <c r="A92" i="18"/>
  <c r="AN91" i="18"/>
  <c r="AM91" i="18"/>
  <c r="A91" i="18"/>
  <c r="AN90" i="18"/>
  <c r="AM90" i="18"/>
  <c r="A90" i="18"/>
  <c r="AN89" i="18"/>
  <c r="AM89" i="18"/>
  <c r="A89" i="18"/>
  <c r="AN88" i="18"/>
  <c r="AM88" i="18"/>
  <c r="A88" i="18"/>
  <c r="AN87" i="18"/>
  <c r="AM87" i="18"/>
  <c r="A87" i="18"/>
  <c r="AN86" i="18"/>
  <c r="AM86" i="18"/>
  <c r="A86" i="18"/>
  <c r="AN85" i="18"/>
  <c r="AM85" i="18"/>
  <c r="A85" i="18"/>
  <c r="AN84" i="18"/>
  <c r="AM84" i="18"/>
  <c r="A84" i="18"/>
  <c r="AN83" i="18"/>
  <c r="AM83" i="18"/>
  <c r="A83" i="18"/>
  <c r="AN82" i="18"/>
  <c r="AM82" i="18"/>
  <c r="A82" i="18"/>
  <c r="AN81" i="18"/>
  <c r="AM81" i="18"/>
  <c r="A81" i="18"/>
  <c r="AN80" i="18"/>
  <c r="AM80" i="18"/>
  <c r="A80" i="18"/>
  <c r="AN79" i="18"/>
  <c r="AM79" i="18"/>
  <c r="A79" i="18"/>
  <c r="AN78" i="18"/>
  <c r="AM78" i="18"/>
  <c r="A78" i="18"/>
  <c r="AN77" i="18"/>
  <c r="AM77" i="18"/>
  <c r="A77" i="18"/>
  <c r="AN76" i="18"/>
  <c r="AM76" i="18"/>
  <c r="A76" i="18"/>
  <c r="AN75" i="18"/>
  <c r="AM75" i="18"/>
  <c r="A75" i="18"/>
  <c r="AN74" i="18"/>
  <c r="AM74" i="18"/>
  <c r="A74" i="18"/>
  <c r="AN73" i="18"/>
  <c r="AM73" i="18"/>
  <c r="A73" i="18"/>
  <c r="AN72" i="18"/>
  <c r="AM72" i="18"/>
  <c r="A72" i="18"/>
  <c r="AN71" i="18"/>
  <c r="AM71" i="18"/>
  <c r="A71" i="18"/>
  <c r="AN70" i="18"/>
  <c r="AM70" i="18"/>
  <c r="A70" i="18"/>
  <c r="AN69" i="18"/>
  <c r="AM69" i="18"/>
  <c r="A69" i="18"/>
  <c r="AN68" i="18"/>
  <c r="AM68" i="18"/>
  <c r="A68" i="18"/>
  <c r="AN67" i="18"/>
  <c r="AM67" i="18"/>
  <c r="A67" i="18"/>
  <c r="AN66" i="18"/>
  <c r="AM66" i="18"/>
  <c r="A66" i="18"/>
  <c r="AN65" i="18"/>
  <c r="AM65" i="18"/>
  <c r="A65" i="18"/>
  <c r="AN64" i="18"/>
  <c r="AM64" i="18"/>
  <c r="A64" i="18"/>
  <c r="AN63" i="18"/>
  <c r="AM63" i="18"/>
  <c r="A63" i="18"/>
  <c r="AN62" i="18"/>
  <c r="AM62" i="18"/>
  <c r="A62" i="18"/>
  <c r="AN61" i="18"/>
  <c r="AM61" i="18"/>
  <c r="A61" i="18"/>
  <c r="AN60" i="18"/>
  <c r="AM60" i="18"/>
  <c r="A60" i="18"/>
  <c r="AN59" i="18"/>
  <c r="AM59" i="18"/>
  <c r="A59" i="18"/>
  <c r="AN58" i="18"/>
  <c r="AM58" i="18"/>
  <c r="A58" i="18"/>
  <c r="AN57" i="18"/>
  <c r="AM57" i="18"/>
  <c r="A57" i="18"/>
  <c r="AN56" i="18"/>
  <c r="AM56" i="18"/>
  <c r="A56" i="18"/>
  <c r="AN55" i="18"/>
  <c r="AM55" i="18"/>
  <c r="A55" i="18"/>
  <c r="AN54" i="18"/>
  <c r="AM54" i="18"/>
  <c r="A54" i="18"/>
  <c r="AN53" i="18"/>
  <c r="AM53" i="18"/>
  <c r="A53" i="18"/>
  <c r="AN52" i="18"/>
  <c r="AM52" i="18"/>
  <c r="A52" i="18"/>
  <c r="AN51" i="18"/>
  <c r="AM51" i="18"/>
  <c r="A51" i="18"/>
  <c r="AN50" i="18"/>
  <c r="AM50" i="18"/>
  <c r="A50" i="18"/>
  <c r="AN49" i="18"/>
  <c r="AM49" i="18"/>
  <c r="A49" i="18"/>
  <c r="AN48" i="18"/>
  <c r="AM48" i="18"/>
  <c r="A48" i="18"/>
  <c r="AN47" i="18"/>
  <c r="AM47" i="18"/>
  <c r="A47" i="18"/>
  <c r="AN46" i="18"/>
  <c r="AM46" i="18"/>
  <c r="A46" i="18"/>
  <c r="AN45" i="18"/>
  <c r="AM45" i="18"/>
  <c r="A45" i="18"/>
  <c r="AN44" i="18"/>
  <c r="AM44" i="18"/>
  <c r="A44" i="18"/>
  <c r="AN43" i="18"/>
  <c r="AM43" i="18"/>
  <c r="A43" i="18"/>
  <c r="AN42" i="18"/>
  <c r="AM42" i="18"/>
  <c r="A42" i="18"/>
  <c r="AN41" i="18"/>
  <c r="AM41" i="18"/>
  <c r="A41" i="18"/>
  <c r="AN40" i="18"/>
  <c r="AM40" i="18"/>
  <c r="A40" i="18"/>
  <c r="AN39" i="18"/>
  <c r="AM39" i="18"/>
  <c r="A39" i="18"/>
  <c r="AN38" i="18"/>
  <c r="AM38" i="18"/>
  <c r="A38" i="18"/>
  <c r="AN37" i="18"/>
  <c r="AM37" i="18"/>
  <c r="A37" i="18"/>
  <c r="AN36" i="18"/>
  <c r="AM36" i="18"/>
  <c r="A36" i="18"/>
  <c r="AN35" i="18"/>
  <c r="AM35" i="18"/>
  <c r="A35" i="18"/>
  <c r="AN34" i="18"/>
  <c r="AM34" i="18"/>
  <c r="A34" i="18"/>
  <c r="AN33" i="18"/>
  <c r="AM33" i="18"/>
  <c r="A33" i="18"/>
  <c r="AN32" i="18"/>
  <c r="AM32" i="18"/>
  <c r="A32" i="18"/>
  <c r="AN31" i="18"/>
  <c r="AM31" i="18"/>
  <c r="A31" i="18"/>
  <c r="AN30" i="18"/>
  <c r="AM30" i="18"/>
  <c r="A30" i="18"/>
  <c r="AN29" i="18"/>
  <c r="AM29" i="18"/>
  <c r="A29" i="18"/>
  <c r="AN28" i="18"/>
  <c r="AM28" i="18"/>
  <c r="A28" i="18"/>
  <c r="AN27" i="18"/>
  <c r="AM27" i="18"/>
  <c r="A27" i="18"/>
  <c r="AN26" i="18"/>
  <c r="AM26" i="18"/>
  <c r="A26" i="18"/>
  <c r="AN25" i="18"/>
  <c r="AM25" i="18"/>
  <c r="A25" i="18"/>
  <c r="AN24" i="18"/>
  <c r="AM24" i="18"/>
  <c r="A24" i="18"/>
  <c r="AN23" i="18"/>
  <c r="AM23" i="18"/>
  <c r="A23" i="18"/>
  <c r="AN22" i="18"/>
  <c r="AM22" i="18"/>
  <c r="A22" i="18"/>
  <c r="AN21" i="18"/>
  <c r="AM21" i="18"/>
  <c r="A21" i="18"/>
  <c r="AN20" i="18"/>
  <c r="AM20" i="18"/>
  <c r="A20" i="18"/>
  <c r="AN19" i="18"/>
  <c r="AM19" i="18"/>
  <c r="A19" i="18"/>
  <c r="AN18" i="18"/>
  <c r="AM18" i="18"/>
  <c r="A18" i="18"/>
  <c r="AN17" i="18"/>
  <c r="AM17" i="18"/>
  <c r="A17" i="18"/>
  <c r="AN16" i="18"/>
  <c r="AM16" i="18"/>
  <c r="A16" i="18"/>
  <c r="AN15" i="18"/>
  <c r="AM15" i="18"/>
  <c r="A15" i="18"/>
  <c r="AN14" i="18"/>
  <c r="AM14" i="18"/>
  <c r="A14" i="18"/>
  <c r="AN13" i="18"/>
  <c r="AM13" i="18"/>
  <c r="A13" i="18"/>
  <c r="AN12" i="18"/>
  <c r="AM12" i="18"/>
  <c r="A12" i="18"/>
  <c r="AN11" i="18"/>
  <c r="AM11" i="18"/>
  <c r="A11" i="18"/>
  <c r="AR4" i="7"/>
  <c r="AQ4" i="7"/>
  <c r="AP4" i="7"/>
  <c r="AO4" i="7"/>
  <c r="AN52" i="6"/>
  <c r="AM52" i="6"/>
  <c r="AL52" i="6"/>
  <c r="AK52" i="6"/>
  <c r="AN51" i="6"/>
  <c r="AM51" i="6"/>
  <c r="AL51" i="6"/>
  <c r="AK51" i="6"/>
  <c r="AN50" i="6"/>
  <c r="AM50" i="6"/>
  <c r="AL50" i="6"/>
  <c r="AK50" i="6"/>
  <c r="AN49" i="6"/>
  <c r="AM49" i="6"/>
  <c r="AL49" i="6"/>
  <c r="AK49" i="6"/>
  <c r="AN48" i="6"/>
  <c r="AM48" i="6"/>
  <c r="AL48" i="6"/>
  <c r="AK48" i="6"/>
  <c r="AN47" i="6"/>
  <c r="AM47" i="6"/>
  <c r="AL47" i="6"/>
  <c r="AK47" i="6"/>
  <c r="AN46" i="6"/>
  <c r="AM46" i="6"/>
  <c r="AL46" i="6"/>
  <c r="AK46" i="6"/>
  <c r="AN45" i="6"/>
  <c r="AM45" i="6"/>
  <c r="AL45" i="6"/>
  <c r="AK45" i="6"/>
  <c r="AN44" i="6"/>
  <c r="AM44" i="6"/>
  <c r="AL44" i="6"/>
  <c r="AK44" i="6"/>
  <c r="AN43" i="6"/>
  <c r="AM43" i="6"/>
  <c r="AL43" i="6"/>
  <c r="AK43" i="6"/>
  <c r="AN42" i="6"/>
  <c r="AM42" i="6"/>
  <c r="AL42" i="6"/>
  <c r="AK42" i="6"/>
  <c r="AN41" i="6"/>
  <c r="AM41" i="6"/>
  <c r="AL41" i="6"/>
  <c r="AK41" i="6"/>
  <c r="AN40" i="6"/>
  <c r="AM40" i="6"/>
  <c r="AL40" i="6"/>
  <c r="AK40" i="6"/>
  <c r="AN39" i="6"/>
  <c r="AM39" i="6"/>
  <c r="AL39" i="6"/>
  <c r="AK39" i="6"/>
  <c r="AN38" i="6"/>
  <c r="AM38" i="6"/>
  <c r="AL38" i="6"/>
  <c r="AK38" i="6"/>
  <c r="AN37" i="6"/>
  <c r="AM37" i="6"/>
  <c r="AL37" i="6"/>
  <c r="AK37" i="6"/>
  <c r="AN36" i="6"/>
  <c r="AM36" i="6"/>
  <c r="AL36" i="6"/>
  <c r="AK36" i="6"/>
  <c r="AN35" i="6"/>
  <c r="AM35" i="6"/>
  <c r="AL35" i="6"/>
  <c r="AK35" i="6"/>
  <c r="AN34" i="6"/>
  <c r="AM34" i="6"/>
  <c r="AL34" i="6"/>
  <c r="AK34" i="6"/>
  <c r="AN33" i="6"/>
  <c r="AM33" i="6"/>
  <c r="AL33" i="6"/>
  <c r="AK33" i="6"/>
  <c r="AN32" i="6"/>
  <c r="AM32" i="6"/>
  <c r="AL32" i="6"/>
  <c r="AK32" i="6"/>
  <c r="AN31" i="6"/>
  <c r="AM31" i="6"/>
  <c r="AL31" i="6"/>
  <c r="AK31" i="6"/>
  <c r="AN30" i="6"/>
  <c r="AM30" i="6"/>
  <c r="AL30" i="6"/>
  <c r="AK30" i="6"/>
  <c r="AN29" i="6"/>
  <c r="AM29" i="6"/>
  <c r="AL29" i="6"/>
  <c r="AK29" i="6"/>
  <c r="AN28" i="6"/>
  <c r="AM28" i="6"/>
  <c r="AL28" i="6"/>
  <c r="AK28" i="6"/>
  <c r="AN27" i="6"/>
  <c r="AM27" i="6"/>
  <c r="AL27" i="6"/>
  <c r="AK27" i="6"/>
  <c r="AN26" i="6"/>
  <c r="AM26" i="6"/>
  <c r="AL26" i="6"/>
  <c r="AK26" i="6"/>
  <c r="AN25" i="6"/>
  <c r="AM25" i="6"/>
  <c r="AL25" i="6"/>
  <c r="AK25" i="6"/>
  <c r="AN24" i="6"/>
  <c r="AM24" i="6"/>
  <c r="AL24" i="6"/>
  <c r="AK24" i="6"/>
  <c r="AN23" i="6"/>
  <c r="AM23" i="6"/>
  <c r="AL23" i="6"/>
  <c r="AK23" i="6"/>
  <c r="AN22" i="6"/>
  <c r="AM22" i="6"/>
  <c r="AL22" i="6"/>
  <c r="AK22" i="6"/>
  <c r="AN21" i="6"/>
  <c r="AM21" i="6"/>
  <c r="AL21" i="6"/>
  <c r="AK21" i="6"/>
  <c r="AN20" i="6"/>
  <c r="AM20" i="6"/>
  <c r="AL20" i="6"/>
  <c r="AK20" i="6"/>
  <c r="AN19" i="6"/>
  <c r="AM19" i="6"/>
  <c r="AL19" i="6"/>
  <c r="AK19" i="6"/>
  <c r="AN18" i="6"/>
  <c r="AM18" i="6"/>
  <c r="AL18" i="6"/>
  <c r="AK18" i="6"/>
  <c r="AN17" i="6"/>
  <c r="AM17" i="6"/>
  <c r="AL17" i="6"/>
  <c r="AK17" i="6"/>
  <c r="AN16" i="6"/>
  <c r="AM16" i="6"/>
  <c r="AL16" i="6"/>
  <c r="AK16" i="6"/>
  <c r="AN15" i="6"/>
  <c r="AM15" i="6"/>
  <c r="AL15" i="6"/>
  <c r="AK15" i="6"/>
  <c r="AN14" i="6"/>
  <c r="AM14" i="6"/>
  <c r="AL14" i="6"/>
  <c r="AK14" i="6"/>
  <c r="AN13" i="6"/>
  <c r="AM13" i="6"/>
  <c r="AL13" i="6"/>
  <c r="AK13" i="6"/>
  <c r="AN12" i="6"/>
  <c r="AM12" i="6"/>
  <c r="AL12" i="6"/>
  <c r="AK12" i="6"/>
  <c r="AN11" i="6"/>
  <c r="AM11" i="6"/>
  <c r="AL11" i="6"/>
  <c r="AK11" i="6"/>
  <c r="AN10" i="6"/>
  <c r="AM10" i="6"/>
  <c r="AL10" i="6"/>
  <c r="AK10" i="6"/>
  <c r="AN9" i="6"/>
  <c r="AM9" i="6"/>
  <c r="AL9" i="6"/>
  <c r="AK9" i="6"/>
  <c r="AN8" i="6"/>
  <c r="AM8" i="6"/>
  <c r="AL8" i="6"/>
  <c r="AK8" i="6"/>
  <c r="AN7" i="6"/>
  <c r="AM7" i="6"/>
  <c r="AL7" i="6"/>
  <c r="AK7" i="6"/>
  <c r="AN6" i="6"/>
  <c r="AM6" i="6"/>
  <c r="AL6" i="6"/>
  <c r="AK6" i="6"/>
  <c r="AN5" i="6"/>
  <c r="AM5" i="6"/>
  <c r="AL5" i="6"/>
  <c r="AK5" i="6"/>
  <c r="AN4" i="6"/>
  <c r="AM4" i="6"/>
  <c r="AL4" i="6"/>
  <c r="AK4" i="6"/>
  <c r="E77" i="15" l="1"/>
  <c r="E69" i="15"/>
  <c r="E61" i="15"/>
  <c r="E53" i="15"/>
  <c r="E45" i="15"/>
  <c r="E37" i="15"/>
  <c r="E29" i="15"/>
  <c r="E21" i="15"/>
  <c r="E13" i="15"/>
  <c r="E5" i="15"/>
  <c r="E82" i="15"/>
  <c r="E74" i="15"/>
  <c r="E66" i="15"/>
  <c r="E58" i="15"/>
  <c r="E50" i="15"/>
  <c r="E42" i="15"/>
  <c r="E34" i="15"/>
  <c r="E26" i="15"/>
  <c r="E18" i="15"/>
  <c r="E10" i="15"/>
  <c r="E81" i="15"/>
  <c r="E73" i="15"/>
  <c r="E65" i="15"/>
  <c r="E57" i="15"/>
  <c r="E49" i="15"/>
  <c r="E41" i="15"/>
  <c r="E33" i="15"/>
  <c r="E25" i="15"/>
  <c r="E17" i="15"/>
  <c r="E9" i="15"/>
  <c r="E80" i="15"/>
  <c r="E72" i="15"/>
  <c r="E64" i="15"/>
  <c r="E56" i="15"/>
  <c r="E48" i="15"/>
  <c r="E40" i="15"/>
  <c r="E32" i="15"/>
  <c r="E24" i="15"/>
  <c r="E16" i="15"/>
  <c r="E8" i="15"/>
  <c r="E78" i="15"/>
  <c r="E62" i="15"/>
  <c r="E46" i="15"/>
  <c r="E30" i="15"/>
  <c r="E14" i="15"/>
  <c r="E76" i="15"/>
  <c r="E60" i="15"/>
  <c r="E44" i="15"/>
  <c r="E28" i="15"/>
  <c r="E12" i="15"/>
  <c r="E75" i="15"/>
  <c r="E59" i="15"/>
  <c r="E43" i="15"/>
  <c r="E27" i="15"/>
  <c r="E11" i="15"/>
  <c r="E71" i="15"/>
  <c r="E55" i="15"/>
  <c r="E39" i="15"/>
  <c r="E23" i="15"/>
  <c r="E7" i="15"/>
  <c r="E70" i="15"/>
  <c r="E54" i="15"/>
  <c r="E38" i="15"/>
  <c r="E22" i="15"/>
  <c r="E6" i="15"/>
  <c r="E83" i="15"/>
  <c r="E67" i="15"/>
  <c r="E51" i="15"/>
  <c r="E35" i="15"/>
  <c r="E19" i="15"/>
  <c r="E79" i="15"/>
  <c r="E63" i="15"/>
  <c r="E47" i="15"/>
  <c r="E31" i="15"/>
  <c r="E15" i="15"/>
  <c r="E36" i="15"/>
  <c r="E20" i="15"/>
  <c r="E4" i="15"/>
  <c r="E68" i="15"/>
  <c r="E5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tc={46E2F008-4ACC-4995-B0A8-95BD137BC19D}</author>
    <author>tc={BA754226-4501-4A74-9E2C-D70EFFF581D4}</author>
    <author>tc={EB66D45B-33ED-4D1E-9CC5-11CFF0414FC5}</author>
    <author>tc={2EAAA0C4-1ABE-429C-9F41-7C2CA72895FA}</author>
    <author>tc={A13E9377-2F9C-4C60-948D-A08B3344CB21}</author>
    <author>tc={34E7A56C-F4ED-4161-8A7A-66E23C2EA6F9}</author>
    <author>tc={83D2141D-62CC-42FA-ABE5-4141526E6F85}</author>
    <author>tc={7D41E06F-3959-46F5-9E1A-8CA564D8DBE0}</author>
    <author>tc={A213628D-6790-42A0-A67E-E7E4831E6D80}</author>
    <author>tc={AD92C914-ADF2-4A8C-89FD-B951ECEF6F0E}</author>
    <author>tc={CA9AEEBB-EC72-4692-9EB8-EDE9571E4C76}</author>
    <author>tc={B42B6CD6-6F9E-472D-84B4-FB6550A0593C}</author>
  </authors>
  <commentList>
    <comment ref="F4" authorId="0" shapeId="0" xr:uid="{46E2F008-4ACC-4995-B0A8-95BD137BC1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reason for increase in revenue in the months of Jan, Feb and Mar are attributed to below fixed cost project and their billing;
 UNICEF-Data Integration Modernization and Opt
UNICEF-CPP Supply Planning Tool
UNICEF-Power BI dashboard Project
Furthermore as these projects and their billing completed in Mar (No billing in Apr and May), there is reduction in revenue... 
</t>
      </text>
    </comment>
    <comment ref="F8" authorId="1" shapeId="0" xr:uid="{BA754226-4501-4A74-9E2C-D70EFFF581D4}">
      <text>
        <t>[Threaded comment]
Your version of Excel allows you to read this threaded comment; however, any edits to it will get removed if the file is opened in a newer version of Excel. Learn more: https://go.microsoft.com/fwlink/?linkid=870924
Comment:
    HAPT - project ended</t>
      </text>
    </comment>
    <comment ref="G8" authorId="2" shapeId="0" xr:uid="{EB66D45B-33ED-4D1E-9CC5-11CFF0414F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CORTEX.AI - Fixed price project. The revenue dip is due to the delay of delivery. New requirements have introduced. The millstones were not equally distributed over the months. </t>
      </text>
    </comment>
    <comment ref="I8" authorId="3" shapeId="0" xr:uid="{2EAAA0C4-1ABE-429C-9F41-7C2CA728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HAPT Phase - 9 - Project over, Phase-10 discussion is in progress.</t>
      </text>
    </comment>
    <comment ref="J8" authorId="4" shapeId="0" xr:uid="{A13E9377-2F9C-4C60-948D-A08B3344CB2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CORTEX&gt;AI - Projects end in May</t>
      </text>
    </comment>
    <comment ref="F14" authorId="5" shapeId="0" xr:uid="{34E7A56C-F4ED-4161-8A7A-66E23C2EA6F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Migration into Microsoft Fabric - The total value of the project is achieved. The fluctuations are due to the milestones defined by the delivery team.</t>
      </text>
    </comment>
    <comment ref="J14" authorId="6" shapeId="0" xr:uid="{83D2141D-62CC-42FA-ABE5-4141526E6F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Project delivered in March-26, before the scheduled delivery timelines. </t>
      </text>
    </comment>
    <comment ref="F16" authorId="7" shapeId="0" xr:uid="{7D41E06F-3959-46F5-9E1A-8CA564D8DBE0}">
      <text>
        <t>[Threaded comment]
Your version of Excel allows you to read this threaded comment; however, any edits to it will get removed if the file is opened in a newer version of Excel. Learn more: https://go.microsoft.com/fwlink/?linkid=870924
Comment:
    Joined a resource at onsite from Jan to Mar</t>
      </text>
    </comment>
    <comment ref="H16" authorId="8" shapeId="0" xr:uid="{A213628D-6790-42A0-A67E-E7E4831E6D80}">
      <text>
        <t>[Threaded comment]
Your version of Excel allows you to read this threaded comment; however, any edits to it will get removed if the file is opened in a newer version of Excel. Learn more: https://go.microsoft.com/fwlink/?linkid=870924
Comment:
    Escalation of resource for not delivering the work, client denied the payment offloaded resource</t>
      </text>
    </comment>
    <comment ref="F26" authorId="9" shapeId="0" xr:uid="{AD92C914-ADF2-4A8C-89FD-B951ECEF6F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significantly high number of leaves taken by the Confonet team this month </t>
      </text>
    </comment>
    <comment ref="F30" authorId="10" shapeId="0" xr:uid="{CA9AEEBB-EC72-4692-9EB8-EDE9571E4C76}">
      <text>
        <t>[Threaded comment]
Your version of Excel allows you to read this threaded comment; however, any edits to it will get removed if the file is opened in a newer version of Excel. Learn more: https://go.microsoft.com/fwlink/?linkid=870924
Comment:
    2 Sr. Data Engineers added to the team for 3 months</t>
      </text>
    </comment>
    <comment ref="J30" authorId="11" shapeId="0" xr:uid="{B42B6CD6-6F9E-472D-84B4-FB6550A0593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Data Engineers will be off-boarded as per the contract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Yogesh Pendse</author>
  </authors>
  <commentList>
    <comment ref="M4" authorId="0" shapeId="0" xr:uid="{ECB4029B-3BF5-4951-8B28-7B7370F8E88F}">
      <text>
        <r>
          <rPr>
            <b/>
            <sz val="9"/>
            <color indexed="81"/>
            <rFont val="Tahoma"/>
            <family val="2"/>
          </rPr>
          <t>Yogesh Pendse:</t>
        </r>
        <r>
          <rPr>
            <sz val="9"/>
            <color indexed="81"/>
            <rFont val="Tahoma"/>
            <family val="2"/>
          </rPr>
          <t xml:space="preserve">
Replacement for KedarSingh
1540/hr</t>
        </r>
      </text>
    </comment>
    <comment ref="N4" authorId="0" shapeId="0" xr:uid="{095D9DFD-23F4-4C00-85B9-397AF6852F97}">
      <text>
        <r>
          <rPr>
            <b/>
            <sz val="9"/>
            <color indexed="81"/>
            <rFont val="Tahoma"/>
            <family val="2"/>
          </rPr>
          <t>Yogesh Pendse:</t>
        </r>
        <r>
          <rPr>
            <sz val="9"/>
            <color indexed="81"/>
            <rFont val="Tahoma"/>
            <family val="2"/>
          </rPr>
          <t xml:space="preserve">
Replacement for KedarSingh
1540/hr</t>
        </r>
      </text>
    </comment>
    <comment ref="O4" authorId="0" shapeId="0" xr:uid="{62B37694-261D-4C7B-8681-5B97C112072C}">
      <text>
        <r>
          <rPr>
            <b/>
            <sz val="9"/>
            <color indexed="81"/>
            <rFont val="Tahoma"/>
            <family val="2"/>
          </rPr>
          <t>Yogesh Pendse:</t>
        </r>
        <r>
          <rPr>
            <sz val="9"/>
            <color indexed="81"/>
            <rFont val="Tahoma"/>
            <family val="2"/>
          </rPr>
          <t xml:space="preserve">
Replacement for KedarSingh
1540/hr</t>
        </r>
      </text>
    </comment>
    <comment ref="P4" authorId="0" shapeId="0" xr:uid="{E37FF021-B5B3-4208-9EA1-D1CD0D185177}">
      <text>
        <r>
          <rPr>
            <b/>
            <sz val="9"/>
            <color indexed="81"/>
            <rFont val="Tahoma"/>
            <family val="2"/>
          </rPr>
          <t>Yogesh Pendse:</t>
        </r>
        <r>
          <rPr>
            <sz val="9"/>
            <color indexed="81"/>
            <rFont val="Tahoma"/>
            <family val="2"/>
          </rPr>
          <t xml:space="preserve">
Replacement for KedarSingh
1540/hr</t>
        </r>
      </text>
    </comment>
    <comment ref="Q4" authorId="0" shapeId="0" xr:uid="{D4E612C1-869B-4874-9179-C465ABA236C4}">
      <text>
        <r>
          <rPr>
            <b/>
            <sz val="9"/>
            <color indexed="81"/>
            <rFont val="Tahoma"/>
            <family val="2"/>
          </rPr>
          <t>Yogesh Pendse:</t>
        </r>
        <r>
          <rPr>
            <sz val="9"/>
            <color indexed="81"/>
            <rFont val="Tahoma"/>
            <family val="2"/>
          </rPr>
          <t xml:space="preserve">
Replacement for KedarSingh
1540/hr</t>
        </r>
      </text>
    </comment>
    <comment ref="R4" authorId="0" shapeId="0" xr:uid="{15B63AAE-549E-4210-893A-45E6A941591F}">
      <text>
        <r>
          <rPr>
            <b/>
            <sz val="9"/>
            <color indexed="81"/>
            <rFont val="Tahoma"/>
            <family val="2"/>
          </rPr>
          <t>Yogesh Pendse:</t>
        </r>
        <r>
          <rPr>
            <sz val="9"/>
            <color indexed="81"/>
            <rFont val="Tahoma"/>
            <family val="2"/>
          </rPr>
          <t xml:space="preserve">
Replacement for KedarSingh
1540/hr</t>
        </r>
      </text>
    </comment>
  </commentList>
</comments>
</file>

<file path=xl/sharedStrings.xml><?xml version="1.0" encoding="utf-8"?>
<sst xmlns="http://schemas.openxmlformats.org/spreadsheetml/2006/main" count="3746" uniqueCount="981">
  <si>
    <t>SBU</t>
  </si>
  <si>
    <t>Project Name</t>
  </si>
  <si>
    <t>Existing</t>
  </si>
  <si>
    <t>Vishant Sarodia</t>
  </si>
  <si>
    <t>Digital Applications</t>
  </si>
  <si>
    <t>WHO-PMO IMT 2024</t>
  </si>
  <si>
    <t>UNICEF-Project Management</t>
  </si>
  <si>
    <t>Digital Operations</t>
  </si>
  <si>
    <t>Abbott</t>
  </si>
  <si>
    <t>CareCognitics - Development Support</t>
  </si>
  <si>
    <t>Magnifact-AWS Support</t>
  </si>
  <si>
    <t>UNICEF-Backend Development</t>
  </si>
  <si>
    <t>Bajaj eCommerce project-(CY-25)</t>
  </si>
  <si>
    <t>Abbott-ADC eCom Webshop UAT Testing - 2025</t>
  </si>
  <si>
    <t>IT Consultancy Services (Austria)-CSS 2025</t>
  </si>
  <si>
    <t>IAEA-ISS (Offshore) 2025</t>
  </si>
  <si>
    <t>IAEA-IT Consultancy CSS(Offshore) 2025</t>
  </si>
  <si>
    <t>Genfare – AToN App Development-CY(25)</t>
  </si>
  <si>
    <t>OPCW-VIS Modernisation 2025</t>
  </si>
  <si>
    <t>UNICC - Microsoft Dev. Technologies Expert 2025</t>
  </si>
  <si>
    <t>Genfare-OCU-CY-25</t>
  </si>
  <si>
    <t>Genfare - Program management-CY-25</t>
  </si>
  <si>
    <t>WORKSOFT Development and Process Intelligence-EXT-25</t>
  </si>
  <si>
    <t>Accion-Echo Health Inc.-B2B</t>
  </si>
  <si>
    <t>Accion-Ingram Micro Inc.- Xvantage for Customers (X4S_Supply Chain)</t>
  </si>
  <si>
    <t>CIEL-TIMKEN IT Project-Data Engineer</t>
  </si>
  <si>
    <t>Samsara - IT Services</t>
  </si>
  <si>
    <t>Appzen-Support Activities</t>
  </si>
  <si>
    <t>UNICEF-SAP ABAP Development Ext</t>
  </si>
  <si>
    <t>UNICEF-Senior SharePoint Administrator</t>
  </si>
  <si>
    <t>UNICEF-SAP Basis services</t>
  </si>
  <si>
    <t>UNICC-QA Services</t>
  </si>
  <si>
    <t>J&amp;J - Data and Anal. Ser. For Pc. &amp; MKT Insights Insights</t>
  </si>
  <si>
    <t>Genfare - DragonFly Implementation</t>
  </si>
  <si>
    <t>NICSI-AAI</t>
  </si>
  <si>
    <t>UNICEF-Yemen MIS Ext 2024-25</t>
  </si>
  <si>
    <t>UNICEF-Software Maintenance for NutriDash 3.0</t>
  </si>
  <si>
    <t>EITS-IT Services</t>
  </si>
  <si>
    <t>IT Consultancy Services (Austria) - SGIS Software Developer(.Net)</t>
  </si>
  <si>
    <t>IT Consultancy Services (Austria)-IT Services</t>
  </si>
  <si>
    <t>IT Consultancy Services (Austria) - Software Development</t>
  </si>
  <si>
    <t>IT Consultancy Services (Austria)-Software Engineer</t>
  </si>
  <si>
    <t>Assura - Power BI Report and Dashboard Development</t>
  </si>
  <si>
    <t>IT Consultancy Services (Austria)-Business Analyst</t>
  </si>
  <si>
    <t>WHO-System Engineer Services(geneva)</t>
  </si>
  <si>
    <t>WHO-Microsoft SQL Data Engineer Services GmbH</t>
  </si>
  <si>
    <t>Axio-Walnut-Capital Float-Engineering team</t>
  </si>
  <si>
    <t>CDSA - Application Hosting</t>
  </si>
  <si>
    <t>Unittus Support</t>
  </si>
  <si>
    <t>J&amp;J—HR Analytics</t>
  </si>
  <si>
    <t>Creiss - Development of Creissmed Web System</t>
  </si>
  <si>
    <t>Talution-Project Management</t>
  </si>
  <si>
    <t>Accion- Unity - Development and Implementation - EXT</t>
  </si>
  <si>
    <t>Refine IT-ACC Service Now Operational Management</t>
  </si>
  <si>
    <t>UNICEF-CPP Supply Planning Tool</t>
  </si>
  <si>
    <t>Microsoft revenue (Azure incentives) - FY 24-25</t>
  </si>
  <si>
    <t>OPCW-BI Development</t>
  </si>
  <si>
    <t>Nityo-Network Engineer</t>
  </si>
  <si>
    <t>Bayer UI - React Development</t>
  </si>
  <si>
    <t>ParentPay-Data Engineering</t>
  </si>
  <si>
    <t>Accion - Dell International Services India Pvt Ltd</t>
  </si>
  <si>
    <t>Abbott-BOPS Data Project Additional Tester– 2025</t>
  </si>
  <si>
    <t>DES</t>
  </si>
  <si>
    <t>EN-Amendment</t>
  </si>
  <si>
    <t>T &amp; M</t>
  </si>
  <si>
    <t>Accion Labs US, Inc. - DES</t>
  </si>
  <si>
    <t>IO</t>
  </si>
  <si>
    <t>International Organization for Migration</t>
  </si>
  <si>
    <t>DPES</t>
  </si>
  <si>
    <t>Accion Labs US, Inc. - DPES</t>
  </si>
  <si>
    <t>LaborEdge LLC</t>
  </si>
  <si>
    <t>Organisation for Prohibition of Chemical Weapons</t>
  </si>
  <si>
    <t>FAO</t>
  </si>
  <si>
    <t>WHO</t>
  </si>
  <si>
    <t>UNICEF</t>
  </si>
  <si>
    <t>WWT India Private Limited</t>
  </si>
  <si>
    <t>Accion Labs (UK) Ltd - IO</t>
  </si>
  <si>
    <t>Accion Labs US, Inc. - IO</t>
  </si>
  <si>
    <t>Accion Labs Canada, Inc. - DES</t>
  </si>
  <si>
    <t>NG Logic LLC</t>
  </si>
  <si>
    <t>Doral Health Connect</t>
  </si>
  <si>
    <t>CareCognitics LLC</t>
  </si>
  <si>
    <t>International Computing Centre</t>
  </si>
  <si>
    <t>Magnifact LLC</t>
  </si>
  <si>
    <t>International Atomic Energy Agency</t>
  </si>
  <si>
    <t>Aventior Inc.</t>
  </si>
  <si>
    <t>Wallenius Wilhelmsen</t>
  </si>
  <si>
    <t>Genfare, LLC</t>
  </si>
  <si>
    <t>ITxM Solutions Private Ltd.</t>
  </si>
  <si>
    <t>Commercial Fleet Technologies Inc.</t>
  </si>
  <si>
    <t>Ascend Learning LLC</t>
  </si>
  <si>
    <t>NICSI</t>
  </si>
  <si>
    <t>Detroit Athletic Club</t>
  </si>
  <si>
    <t>Adobe Inc.</t>
  </si>
  <si>
    <t>Intelebee LLC</t>
  </si>
  <si>
    <t>Amdocs</t>
  </si>
  <si>
    <t>WORKSOFT INC</t>
  </si>
  <si>
    <t>Avalara Technologies Pvt. Ltd</t>
  </si>
  <si>
    <t>Kale Logistics Solutions Private. Limited.</t>
  </si>
  <si>
    <t>Anixter India Pvt Limited</t>
  </si>
  <si>
    <t>Navitus Health</t>
  </si>
  <si>
    <t>Ostia Software Solutions Limited</t>
  </si>
  <si>
    <t>The Timken Company</t>
  </si>
  <si>
    <t>International Civil Aviation Organization</t>
  </si>
  <si>
    <t>Samsara Inc.</t>
  </si>
  <si>
    <t>AppZen,Inc</t>
  </si>
  <si>
    <t>Blue Cross and Blue Shield of Kansas City</t>
  </si>
  <si>
    <t>Simplicity First Solutions LLC</t>
  </si>
  <si>
    <t>Rockwell Automation, Inc.</t>
  </si>
  <si>
    <t>Medline Industries India Pvt. Ltd</t>
  </si>
  <si>
    <t>Fleetguard Filters Pvt. Ltd.</t>
  </si>
  <si>
    <t>GeBBS</t>
  </si>
  <si>
    <t>CRIF Solutions Private Limited</t>
  </si>
  <si>
    <t>KPMG</t>
  </si>
  <si>
    <t>Assura Protect Limited</t>
  </si>
  <si>
    <t>Sears IT &amp; Manag Services India Private Limit</t>
  </si>
  <si>
    <t>Axio Digital Private Limited</t>
  </si>
  <si>
    <t>Translational Health Science and Technology Institute</t>
  </si>
  <si>
    <t>Belmont Green Finance Limited</t>
  </si>
  <si>
    <t>Bayer</t>
  </si>
  <si>
    <t>Unittus Inc.</t>
  </si>
  <si>
    <t>CWT US, LLC</t>
  </si>
  <si>
    <t>CVS Pharmacy Inc.</t>
  </si>
  <si>
    <t>BanCAPs PLLC</t>
  </si>
  <si>
    <t>AJ Antunes &amp; Co</t>
  </si>
  <si>
    <t>American Bureau of Shipping</t>
  </si>
  <si>
    <t>DPR Consulting Limited</t>
  </si>
  <si>
    <t>Nextenture Inc.</t>
  </si>
  <si>
    <t>Green Climate Fund</t>
  </si>
  <si>
    <t>Lifeline Systech Solutions Pvt. Ltd</t>
  </si>
  <si>
    <t>CerpassRx</t>
  </si>
  <si>
    <t>Creiss Systems GmbH</t>
  </si>
  <si>
    <t>TALUTION GROUP, LLC.</t>
  </si>
  <si>
    <t>WorkPac Group</t>
  </si>
  <si>
    <t>Refine IT Consulting, LLC.</t>
  </si>
  <si>
    <t>Medsolis Inc.</t>
  </si>
  <si>
    <t>Microsoft Corporation (India) Private Limited</t>
  </si>
  <si>
    <t>International Labour Office</t>
  </si>
  <si>
    <t>ParentPay Group Limited</t>
  </si>
  <si>
    <t>ACCION TECHNOLOGIES PRIVATE LIMITED - DES</t>
  </si>
  <si>
    <t>NetSuite Project Name</t>
  </si>
  <si>
    <t>-</t>
  </si>
  <si>
    <t>Offshore</t>
  </si>
  <si>
    <t>World Health Organization.</t>
  </si>
  <si>
    <t>Abbott GmbH</t>
  </si>
  <si>
    <t>110 Holdings, LLC, DBA Launch Consulting</t>
  </si>
  <si>
    <t>Wallenius Wilhelmsen Ocean AS</t>
  </si>
  <si>
    <t>Abbott Laboratories</t>
  </si>
  <si>
    <t>UEZ-4710</t>
  </si>
  <si>
    <t>Accion Labs US, Inc.</t>
  </si>
  <si>
    <t>ACCION TECHNOLOGIES PRIVATE LIMITED</t>
  </si>
  <si>
    <t>e-Zest Digital Solutions Pvt Ltd</t>
  </si>
  <si>
    <t>Accion Labs (UK) Ltd</t>
  </si>
  <si>
    <t>UEZ-4388</t>
  </si>
  <si>
    <t>UEZ-4569</t>
  </si>
  <si>
    <t>UEZ-4568</t>
  </si>
  <si>
    <t>Accion Labs Canada, Inc.</t>
  </si>
  <si>
    <t>UEZ-4334</t>
  </si>
  <si>
    <t>UEZ-3721</t>
  </si>
  <si>
    <t>UEZ-3319</t>
  </si>
  <si>
    <t>Bajaj Auto Ltd.</t>
  </si>
  <si>
    <t>UEZ-4714</t>
  </si>
  <si>
    <t>Bayer Science And Innovation Private Limited</t>
  </si>
  <si>
    <t>UEZ-3081</t>
  </si>
  <si>
    <t>CIEL HR Services Limited</t>
  </si>
  <si>
    <t>UEZ-4539</t>
  </si>
  <si>
    <t>UEZ-3605</t>
  </si>
  <si>
    <t>Dataverse Solutions Private Limited</t>
  </si>
  <si>
    <t>Emerson Export Engineering Centre</t>
  </si>
  <si>
    <t>Emerson Information Technology Solutions</t>
  </si>
  <si>
    <t>Government Property Agency</t>
  </si>
  <si>
    <t>UEZ-4303</t>
  </si>
  <si>
    <t>UEZ-4667</t>
  </si>
  <si>
    <t>UEZ-4674</t>
  </si>
  <si>
    <t>UEZ-4670</t>
  </si>
  <si>
    <t>UEZ-4682</t>
  </si>
  <si>
    <t>UEZ-4681</t>
  </si>
  <si>
    <t>UEZ-3909</t>
  </si>
  <si>
    <t>UEZ-3723</t>
  </si>
  <si>
    <t>UEZ-3520</t>
  </si>
  <si>
    <t>UEZ-4688</t>
  </si>
  <si>
    <t>UEZ-3875</t>
  </si>
  <si>
    <t>UEZ-3732</t>
  </si>
  <si>
    <t>JOHNSON &amp; JOHNSON PVT. LTD</t>
  </si>
  <si>
    <t>UEZ-4414</t>
  </si>
  <si>
    <t>UEZ-4589</t>
  </si>
  <si>
    <t>UEZ-4409</t>
  </si>
  <si>
    <t>National Informatics Centre Services Incorporated (NICSI)</t>
  </si>
  <si>
    <t>UEZ-4241</t>
  </si>
  <si>
    <t>UEZ-4673</t>
  </si>
  <si>
    <t>UEZ-4852</t>
  </si>
  <si>
    <t>UEZ-4341</t>
  </si>
  <si>
    <t>Siemens Technology and Services Pvt Ltd</t>
  </si>
  <si>
    <t>UEZ-4799</t>
  </si>
  <si>
    <t>UEZ-4671</t>
  </si>
  <si>
    <t>UEZ-4366</t>
  </si>
  <si>
    <t>UEZ-4368</t>
  </si>
  <si>
    <t>UEZ-4834</t>
  </si>
  <si>
    <t>UEZ-4174</t>
  </si>
  <si>
    <t>UEZ-4227</t>
  </si>
  <si>
    <t>UEZ-3632</t>
  </si>
  <si>
    <t>UEZ-4173</t>
  </si>
  <si>
    <t>UEZ-3926</t>
  </si>
  <si>
    <t>UEZ-1511</t>
  </si>
  <si>
    <t>UEZ-3352</t>
  </si>
  <si>
    <t>UEZ-4097</t>
  </si>
  <si>
    <t>UEZ-3465</t>
  </si>
  <si>
    <t>UEZ-4591</t>
  </si>
  <si>
    <t>Nityo Infotech Services Pvt. Ltd</t>
  </si>
  <si>
    <t>UNICEF - Yemen</t>
  </si>
  <si>
    <t>UEZ-4200</t>
  </si>
  <si>
    <t>National Academy of Sports Medicine</t>
  </si>
  <si>
    <t>UEZ-5039</t>
  </si>
  <si>
    <t>UEZ-5091</t>
  </si>
  <si>
    <t>UEZ-5089</t>
  </si>
  <si>
    <t>UEZ-5087</t>
  </si>
  <si>
    <t>Common Customer Name</t>
  </si>
  <si>
    <t>Sr No.</t>
  </si>
  <si>
    <t>Whizible ID</t>
  </si>
  <si>
    <t>Project Code</t>
  </si>
  <si>
    <t>Customer Name</t>
  </si>
  <si>
    <t>Total</t>
  </si>
  <si>
    <t>Type</t>
  </si>
  <si>
    <t>Geography</t>
  </si>
  <si>
    <t>Currency</t>
  </si>
  <si>
    <t>Contract Entity</t>
  </si>
  <si>
    <t>Client Type</t>
  </si>
  <si>
    <t>Location</t>
  </si>
  <si>
    <t>Sales Bifurcation</t>
  </si>
  <si>
    <t>Project Group</t>
  </si>
  <si>
    <t>Project Technology</t>
  </si>
  <si>
    <t>OU</t>
  </si>
  <si>
    <t>Country</t>
  </si>
  <si>
    <t>On-site/Offshore/India client side</t>
  </si>
  <si>
    <t>Industry</t>
  </si>
  <si>
    <t>Healthcare/ Non-healthcare</t>
  </si>
  <si>
    <t>New Addition</t>
  </si>
  <si>
    <t>GEO</t>
  </si>
  <si>
    <t>Europe</t>
  </si>
  <si>
    <t>Netherlands</t>
  </si>
  <si>
    <t>Switzerland</t>
  </si>
  <si>
    <t>US</t>
  </si>
  <si>
    <t>Managed Cloud and DevOps</t>
  </si>
  <si>
    <t>RoW</t>
  </si>
  <si>
    <t>Public Pricelist (INR)</t>
  </si>
  <si>
    <t>EKTH</t>
  </si>
  <si>
    <t>India</t>
  </si>
  <si>
    <t>Technology</t>
  </si>
  <si>
    <t>Digital Commerce</t>
  </si>
  <si>
    <t>Germany</t>
  </si>
  <si>
    <t>United Kingdom</t>
  </si>
  <si>
    <t>Azure</t>
  </si>
  <si>
    <t>UX</t>
  </si>
  <si>
    <t>Denmark</t>
  </si>
  <si>
    <t>AWS</t>
  </si>
  <si>
    <t>SharePoint</t>
  </si>
  <si>
    <t>Data Analytics</t>
  </si>
  <si>
    <t>Ireland</t>
  </si>
  <si>
    <t>Austria</t>
  </si>
  <si>
    <t>Manufacturing &amp; Construction</t>
  </si>
  <si>
    <t>Big Data</t>
  </si>
  <si>
    <t>South Korea</t>
  </si>
  <si>
    <t>Non-Healthcare</t>
  </si>
  <si>
    <t/>
  </si>
  <si>
    <t>EU</t>
  </si>
  <si>
    <t>USA</t>
  </si>
  <si>
    <t>ROW</t>
  </si>
  <si>
    <t>DU Manager</t>
  </si>
  <si>
    <t>DU Name</t>
  </si>
  <si>
    <t>Active Project Code</t>
  </si>
  <si>
    <t>Company</t>
  </si>
  <si>
    <t>Deal Name</t>
  </si>
  <si>
    <t>dealid</t>
  </si>
  <si>
    <t>CY Deal Amt In USD</t>
  </si>
  <si>
    <t>BU</t>
  </si>
  <si>
    <t>Deal Type</t>
  </si>
  <si>
    <t>Territory</t>
  </si>
  <si>
    <t>LOB</t>
  </si>
  <si>
    <t>Milestone Start Date</t>
  </si>
  <si>
    <t>Total number of milestones</t>
  </si>
  <si>
    <t>Frequency of Milestone</t>
  </si>
  <si>
    <t>New Client - New Business</t>
  </si>
  <si>
    <t>Existing Client - New Business</t>
  </si>
  <si>
    <t>Not Applicable</t>
  </si>
  <si>
    <t>JAVA</t>
  </si>
  <si>
    <t>Win Probability</t>
  </si>
  <si>
    <t>Total Deal Amount in USD</t>
  </si>
  <si>
    <t>Total Deal Amount In USD</t>
  </si>
  <si>
    <t>EngagementModel</t>
  </si>
  <si>
    <t>Talution Group</t>
  </si>
  <si>
    <t>TATA AutoComp Systems</t>
  </si>
  <si>
    <t>CONNECT.IO LTD</t>
  </si>
  <si>
    <t>Fixed cost</t>
  </si>
  <si>
    <t>T&amp;M</t>
  </si>
  <si>
    <t>New Logo</t>
  </si>
  <si>
    <t>Platform and Integration</t>
  </si>
  <si>
    <t>Details Unavailable</t>
  </si>
  <si>
    <t>T&amp;M with delivery</t>
  </si>
  <si>
    <t>Tata AutoComp (TACO) - EV</t>
  </si>
  <si>
    <t>.NET</t>
  </si>
  <si>
    <t>Collaboration</t>
  </si>
  <si>
    <t>WWT - Virtual Team</t>
  </si>
  <si>
    <t>IOBlend (cura-terrae) - Video Analytics</t>
  </si>
  <si>
    <t>Gen AI</t>
  </si>
  <si>
    <t>45658Total</t>
  </si>
  <si>
    <t>45689Total</t>
  </si>
  <si>
    <t>45717Total</t>
  </si>
  <si>
    <t>45748Total</t>
  </si>
  <si>
    <t>45778Total</t>
  </si>
  <si>
    <t>45809Total</t>
  </si>
  <si>
    <t>45839Total</t>
  </si>
  <si>
    <t>45870Total</t>
  </si>
  <si>
    <t>45901Total</t>
  </si>
  <si>
    <t>45931Total</t>
  </si>
  <si>
    <t>45962Total</t>
  </si>
  <si>
    <t>45992Total</t>
  </si>
  <si>
    <t>CQ1</t>
  </si>
  <si>
    <t>CQ2</t>
  </si>
  <si>
    <t>CQ3</t>
  </si>
  <si>
    <t>CQ4</t>
  </si>
  <si>
    <t>GOAL</t>
  </si>
  <si>
    <t>Sr. No.</t>
  </si>
  <si>
    <t>DU</t>
  </si>
  <si>
    <t>Grand Total</t>
  </si>
  <si>
    <t>Total (USD) In MM</t>
  </si>
  <si>
    <t>Q1</t>
  </si>
  <si>
    <t>Q2</t>
  </si>
  <si>
    <t>Q3</t>
  </si>
  <si>
    <t>Q4</t>
  </si>
  <si>
    <t>ColumnName for current week---&gt;</t>
  </si>
  <si>
    <t>ColumnName for previous week---&gt;</t>
  </si>
  <si>
    <t>Project code</t>
  </si>
  <si>
    <t>Additions/ Deletions</t>
  </si>
  <si>
    <t>SOW / PO Status</t>
  </si>
  <si>
    <t>Comments</t>
  </si>
  <si>
    <t>A</t>
  </si>
  <si>
    <t>B</t>
  </si>
  <si>
    <t>HC</t>
  </si>
  <si>
    <t>HC Comment</t>
  </si>
  <si>
    <t>Add</t>
  </si>
  <si>
    <t>I:I</t>
  </si>
  <si>
    <t>L:L</t>
  </si>
  <si>
    <t>O:O</t>
  </si>
  <si>
    <t>R:R</t>
  </si>
  <si>
    <t>U:U</t>
  </si>
  <si>
    <t>X:X</t>
  </si>
  <si>
    <t>AA:AA</t>
  </si>
  <si>
    <t>AD:AD</t>
  </si>
  <si>
    <t>AG:AG</t>
  </si>
  <si>
    <t>AJ:AJ</t>
  </si>
  <si>
    <t>AM:AM</t>
  </si>
  <si>
    <t>AP:AP</t>
  </si>
  <si>
    <t>UEZ-1998</t>
  </si>
  <si>
    <t>1= include</t>
  </si>
  <si>
    <t>0 = exclude</t>
  </si>
  <si>
    <t xml:space="preserve"> </t>
  </si>
  <si>
    <t>include/exclude</t>
  </si>
  <si>
    <t>Total (Difference)</t>
  </si>
  <si>
    <t>H:H</t>
  </si>
  <si>
    <t>J:J</t>
  </si>
  <si>
    <t>K:K</t>
  </si>
  <si>
    <t>M:M</t>
  </si>
  <si>
    <t>N:N</t>
  </si>
  <si>
    <t>P:P</t>
  </si>
  <si>
    <t>Q:Q</t>
  </si>
  <si>
    <t>S:S</t>
  </si>
  <si>
    <t>Geo</t>
  </si>
  <si>
    <t>Current week---&gt;</t>
  </si>
  <si>
    <t>Previous week week---&gt;</t>
  </si>
  <si>
    <t>DealID</t>
  </si>
  <si>
    <t>D:D</t>
  </si>
  <si>
    <t>E:E</t>
  </si>
  <si>
    <t>F:F</t>
  </si>
  <si>
    <t>G:G</t>
  </si>
  <si>
    <t>UEZ-5856</t>
  </si>
  <si>
    <t>Accion(UK)-Apex-Extended Delivery Centre Team (EDC)</t>
  </si>
  <si>
    <t>Accelerance</t>
  </si>
  <si>
    <t>ICC</t>
  </si>
  <si>
    <t>ICC - Share Network Drives Content Migration to SharePoint</t>
  </si>
  <si>
    <t>ParentPay - O2A (GenAI Account Receivable Automation)</t>
  </si>
  <si>
    <t>UK</t>
  </si>
  <si>
    <t>UNFPA</t>
  </si>
  <si>
    <t>UNFPA - Developing a GenAI-Powered Evidence Assistant</t>
  </si>
  <si>
    <t>IAEA - Systems Infrastructure Engineer(Onsite) - SGIS</t>
  </si>
  <si>
    <t>Genfare - OCB development</t>
  </si>
  <si>
    <t>Ostia - BA (No Code Implementation)</t>
  </si>
  <si>
    <t>Serious Fraud Investigation Office</t>
  </si>
  <si>
    <t>Serious Fraud Investigation Office - Design, Development, Implementation, Operation &amp; Maintenance of the SFIO Cases Investigation Management System (SCIMS)</t>
  </si>
  <si>
    <t>LTA</t>
  </si>
  <si>
    <t>UNIDO</t>
  </si>
  <si>
    <t>UEZ-6306</t>
  </si>
  <si>
    <t>GCF-Software  Development support</t>
  </si>
  <si>
    <t>UNFPA - Supply Of Resources To UNFPA HQ For The Development Of Generative-AI Powered Applications</t>
  </si>
  <si>
    <t>WWT - WiFi Support Engineers - Morgan Stanley</t>
  </si>
  <si>
    <t>UNICC - LONG-TERM AGREEMENTS FOR THE PROVISION OF IT CONSULTANCY SERVICES</t>
  </si>
  <si>
    <t>UEZ-6337</t>
  </si>
  <si>
    <t>NICSI-Hyderabad-Ext</t>
  </si>
  <si>
    <t>BI-Analytics</t>
  </si>
  <si>
    <t>Multiple Technologies</t>
  </si>
  <si>
    <t>Enterprise platform</t>
  </si>
  <si>
    <t>Cloud</t>
  </si>
  <si>
    <t>Testing</t>
  </si>
  <si>
    <t>WorkSoft | UX Designer</t>
  </si>
  <si>
    <t>2W | Data Engineer | MS Fabric</t>
  </si>
  <si>
    <t>Sweden</t>
  </si>
  <si>
    <t>Fresh Gravity Software Services India Pvt Ltd.</t>
  </si>
  <si>
    <t>Fresh Gravity | Power BI Python</t>
  </si>
  <si>
    <t>Apploi Corporation</t>
  </si>
  <si>
    <t>Bayer – Java Development</t>
  </si>
  <si>
    <t>Factual Data</t>
  </si>
  <si>
    <t>Efficacious 2 LLC</t>
  </si>
  <si>
    <t>Magnit Global India Private Limited</t>
  </si>
  <si>
    <t>UEZ-6459</t>
  </si>
  <si>
    <t>Talution-Salesforce Developers</t>
  </si>
  <si>
    <t>UEZ-6456</t>
  </si>
  <si>
    <t>Lifeline - Azure Hosting and Support Services - EXT</t>
  </si>
  <si>
    <t>UEZ-6447</t>
  </si>
  <si>
    <t>CVS eBCA Enhancements</t>
  </si>
  <si>
    <t>UEZ-6435</t>
  </si>
  <si>
    <t>NICSI-Confonet-Senior Software developer</t>
  </si>
  <si>
    <t>Worksoft | New Requirement of .NET team members</t>
  </si>
  <si>
    <t>Onsite PM - Germany</t>
  </si>
  <si>
    <t>ParentPay | Automation Engineers 05 Pune</t>
  </si>
  <si>
    <t>ParentPay - Examination Module (Delphi Code Migration)</t>
  </si>
  <si>
    <t>Apploi | Platform Development</t>
  </si>
  <si>
    <t>Ascend Learning | Data Engineers</t>
  </si>
  <si>
    <t>Accion - CBC - Factual Data. - Support Process Automation</t>
  </si>
  <si>
    <t>WWT - Disaster Recovery Engineer &amp; Disaster Recovery Trainer</t>
  </si>
  <si>
    <t>Ascend Learning | AEM Engineers</t>
  </si>
  <si>
    <t>WWT - Project Manager</t>
  </si>
  <si>
    <t>Accion - Dell - Department of Education (DOE), New York - Legacy Modernization- Phase 1 - COBOL to Java</t>
  </si>
  <si>
    <t>ABS - Technical Writer</t>
  </si>
  <si>
    <t>ABS - Dynamics 365 Developer</t>
  </si>
  <si>
    <t>WWT - Driscoll - Oracle Cloud ERP Admin</t>
  </si>
  <si>
    <t>Accion - McCain</t>
  </si>
  <si>
    <t>BAYER CROPSCIENCE LIMITED</t>
  </si>
  <si>
    <t>NICSI PESO Assistant</t>
  </si>
  <si>
    <t>UEZ-6503</t>
  </si>
  <si>
    <t>The OPEC Fund for International Development</t>
  </si>
  <si>
    <t>OPEC-Information Security consultant-Onsite</t>
  </si>
  <si>
    <t>World Wide Technology, LLC,</t>
  </si>
  <si>
    <t>Accion - Ecolab - GenAI EDC setup</t>
  </si>
  <si>
    <t>Bayer Corp Science - Java Developer</t>
  </si>
  <si>
    <t>Bayer Corp Science</t>
  </si>
  <si>
    <t>Bayer Corp Science - Data Analyst</t>
  </si>
  <si>
    <t>World Health Organization</t>
  </si>
  <si>
    <t>UEZ-6527</t>
  </si>
  <si>
    <t>BKC-BCBS Kansas City Q4 Requirement Audit 25-26</t>
  </si>
  <si>
    <t>Cision - Clipping</t>
  </si>
  <si>
    <t>WWT - Senior Network Engineers</t>
  </si>
  <si>
    <t>ABS - SharePoint Developer</t>
  </si>
  <si>
    <t>CBC- Gen AI Developer</t>
  </si>
  <si>
    <t>Bayer- Power BI Developer</t>
  </si>
  <si>
    <t>UEZ-6621</t>
  </si>
  <si>
    <t>IAEA-NEXSHARE/ FUSE project</t>
  </si>
  <si>
    <t>UEZ-6617</t>
  </si>
  <si>
    <t>Model N India Software Private Limited</t>
  </si>
  <si>
    <t>Model  N-Legacy Modernization - Struts to Java Spring MVC</t>
  </si>
  <si>
    <t>NIC - T &amp; M engagement</t>
  </si>
  <si>
    <t>Cross Country Healthcare Inc.</t>
  </si>
  <si>
    <t>IAEA-IT Infrastructure/Platforms Engineer-Onsite-SGIS</t>
  </si>
  <si>
    <t>Office of Information and Communications Technology</t>
  </si>
  <si>
    <t>OICT - Salesforce based HR Helpdesk</t>
  </si>
  <si>
    <t>OICT</t>
  </si>
  <si>
    <t>Avalara | GIA | BI &amp; Visualisation Engineers</t>
  </si>
  <si>
    <t>Cross Country | Oracle Report Developers</t>
  </si>
  <si>
    <t>Oracle</t>
  </si>
  <si>
    <t>Cross Country | ERP Report Developers</t>
  </si>
  <si>
    <t>ERP</t>
  </si>
  <si>
    <t>Cross Country | MSBI Developers</t>
  </si>
  <si>
    <t>WWT - Data Analyst Power BI</t>
  </si>
  <si>
    <t>United Nations Industrial Development Organisation</t>
  </si>
  <si>
    <t>UNIDO - Long Term Agreement for provision of SAP support consultancy services (including ABAP/WebDynpro/Adobe Forms/WRICEF, BI BW BO, Web Portal Development, SAP Authorization Support, BASIS Support)</t>
  </si>
  <si>
    <t>UEZ-6694</t>
  </si>
  <si>
    <t>Rockwell - Automation - Fiix Support-Ext</t>
  </si>
  <si>
    <t>UEZ-6693</t>
  </si>
  <si>
    <t>Rockwell - Automation - Plex Service-Ext</t>
  </si>
  <si>
    <t>East Hampton Town Board</t>
  </si>
  <si>
    <t>East Hampton - Dell - GIS-enabled Property ePortal Development and Support</t>
  </si>
  <si>
    <t>Parentpay - Content Platform (Nopcommerce)</t>
  </si>
  <si>
    <t>Right Skale</t>
  </si>
  <si>
    <t>Right Skale - Software Engineers - NodeJS</t>
  </si>
  <si>
    <t>Bits In Glass</t>
  </si>
  <si>
    <t>BitsInGlass - CPKC - Legacy Modernization RFP</t>
  </si>
  <si>
    <t>Talution || PowerBi Tableau Developers</t>
  </si>
  <si>
    <t>Bayer-Android Developer</t>
  </si>
  <si>
    <t>UEZ-6721</t>
  </si>
  <si>
    <t>UNICC - Full Stack Development-2025-Ext</t>
  </si>
  <si>
    <t>UEZ-6720</t>
  </si>
  <si>
    <t>UNICC-Full Stack Developer MEAN - EXT</t>
  </si>
  <si>
    <t>UEZ-6709</t>
  </si>
  <si>
    <t>Sears-eCommerce Development</t>
  </si>
  <si>
    <t>Avalara Technologies Private Limited</t>
  </si>
  <si>
    <t>Neurocrine</t>
  </si>
  <si>
    <t>Neurocrine - TD Use Case, Value Based Care</t>
  </si>
  <si>
    <t>Luggage Logistics</t>
  </si>
  <si>
    <t>WWT - API Engineer (JR) - Adhikar</t>
  </si>
  <si>
    <t>Accelerance - Luggage Logistics - Tech Support</t>
  </si>
  <si>
    <t>Right Skale - Telephony Developer</t>
  </si>
  <si>
    <t>WWT - Data Engineer -Manasa</t>
  </si>
  <si>
    <t>WWT - Design Engineer - Adhikar</t>
  </si>
  <si>
    <t>WWT - Tech Lead -Adhikar</t>
  </si>
  <si>
    <t>Thermofisher GCC - Java developer</t>
  </si>
  <si>
    <t>Abbott - Testing Expertise (2) in SFDC for Unity</t>
  </si>
  <si>
    <t>Right Skale - iOS Developer</t>
  </si>
  <si>
    <t>Mobile</t>
  </si>
  <si>
    <t>Right Skale - PowerBI Developer</t>
  </si>
  <si>
    <t>Thermofisher GCC - SDET</t>
  </si>
  <si>
    <t>UEZ-6764</t>
  </si>
  <si>
    <t>Cross Country-RPA L1 Support Activities</t>
  </si>
  <si>
    <t>UEZ-6757</t>
  </si>
  <si>
    <t>ABS Professional Services (India) Private Limited</t>
  </si>
  <si>
    <t>ABS IT Consulting Services-EXT</t>
  </si>
  <si>
    <t>UEZ-6756</t>
  </si>
  <si>
    <t>ABS-IT Consulting Services(WS-IND-ENGINEERING-NSE)-EXT</t>
  </si>
  <si>
    <t>The Allstate Corporation</t>
  </si>
  <si>
    <t>Allstate: Employee Info Kiosk</t>
  </si>
  <si>
    <t>GCC</t>
  </si>
  <si>
    <t>OneCityGlobal</t>
  </si>
  <si>
    <t>OneCityGlobal | Extended Development POD</t>
  </si>
  <si>
    <t>Bits In Glass | Platform Development | New Skills</t>
  </si>
  <si>
    <t>UEZ-6825</t>
  </si>
  <si>
    <t>WHO-HAPT Phase 9</t>
  </si>
  <si>
    <t>UEZ-6824</t>
  </si>
  <si>
    <t>Talutions-GitHub Copilot Adoption Framework</t>
  </si>
  <si>
    <t>EEEC-Innovation</t>
  </si>
  <si>
    <t>WHO: Cortex.AI hub Phase 2 and 3 Development</t>
  </si>
  <si>
    <t>WHO: Cortex.AI hub Phase 1 Development</t>
  </si>
  <si>
    <t>WHO - Maintenance and refinement of a web-based application to manage RP2 scientific and budget review process (RPTWO)</t>
  </si>
  <si>
    <t>IOM - Services for Data Migration to Microsoft Fabric Project</t>
  </si>
  <si>
    <t>Spain</t>
  </si>
  <si>
    <t>UNICC - Long-Term Agreements for the Provision of IT Consultancy Services in Support of Cybersecurity Services</t>
  </si>
  <si>
    <t>GCF - On-demand Professional Support Services LTA 2026-2028</t>
  </si>
  <si>
    <t>United Nations Development Program</t>
  </si>
  <si>
    <t>UNDP - Hiring of Agency for services of Onsite Application Developer</t>
  </si>
  <si>
    <t>UNDP</t>
  </si>
  <si>
    <t>UEZ-6954</t>
  </si>
  <si>
    <t>WHO-CORTEX.AI Platform Development Phase-1</t>
  </si>
  <si>
    <t>Viavi Solutions Inc.</t>
  </si>
  <si>
    <t>Johnson &amp; Johnson Services, Inc</t>
  </si>
  <si>
    <t>UEZ-7189</t>
  </si>
  <si>
    <t>UEZ-7188</t>
  </si>
  <si>
    <t>Unicef-Sr Integration Developer</t>
  </si>
  <si>
    <t>UEZ-7154</t>
  </si>
  <si>
    <t>Unicef-Senior Data Integration Developer</t>
  </si>
  <si>
    <t>UEZ-7151</t>
  </si>
  <si>
    <t>CRIF HIGH MARK CREDIT INFORMATION SERVICES PRIVATE LIMITED</t>
  </si>
  <si>
    <t>CHM-IT Consulting Services- (CY-25)</t>
  </si>
  <si>
    <t>UEZ-7290</t>
  </si>
  <si>
    <t>WHO - WSE - Deployment of systems engineer-(Berlin)-Ext</t>
  </si>
  <si>
    <t>UEZ-7391</t>
  </si>
  <si>
    <t>OPCW-BI Developer (Onsite)</t>
  </si>
  <si>
    <t>UEZ-7384</t>
  </si>
  <si>
    <t>Siemens-Full Stack - ASP.Net</t>
  </si>
  <si>
    <t>UEZ-7383</t>
  </si>
  <si>
    <t>Siemens-Dot Net Full Stack</t>
  </si>
  <si>
    <t>UEZ-7349</t>
  </si>
  <si>
    <t>Vida bank-Sharepoint Support</t>
  </si>
  <si>
    <t>UEZ-7484</t>
  </si>
  <si>
    <t>UNICEF-Power BI dashboard Project</t>
  </si>
  <si>
    <t>UEZ-7517</t>
  </si>
  <si>
    <t>Rockwell - Finite Scheduling</t>
  </si>
  <si>
    <t>UEZ-7692</t>
  </si>
  <si>
    <t>IOM-Services for Data Migration to Microsoft Fabric</t>
  </si>
  <si>
    <t>UEZ-7691</t>
  </si>
  <si>
    <t>IAEA-Austria-Infrastructure Engineer</t>
  </si>
  <si>
    <t>UEZ-7655</t>
  </si>
  <si>
    <t>DSPL-Resource Engagement</t>
  </si>
  <si>
    <t>Ded</t>
  </si>
  <si>
    <t>UEZ-7721</t>
  </si>
  <si>
    <t>UNICEF-SCAT 2026</t>
  </si>
  <si>
    <t>UEZ-7652</t>
  </si>
  <si>
    <t>Genfare-IoT Device Mgmt -(CY-26)</t>
  </si>
  <si>
    <t>UEZ-7648</t>
  </si>
  <si>
    <t>110 Holdings LLC- AvalonBay</t>
  </si>
  <si>
    <t>UEZ-8235</t>
  </si>
  <si>
    <t>Genfare-QA</t>
  </si>
  <si>
    <t>UEZ-7660</t>
  </si>
  <si>
    <t>Genfare-G L 2.0</t>
  </si>
  <si>
    <t>UEZ-7647</t>
  </si>
  <si>
    <t>Genfare-Payment-(CY-26)</t>
  </si>
  <si>
    <t>UEZ-7765</t>
  </si>
  <si>
    <t>Abbott-Project/Program Manager for ADC EMEA IM Team 2026</t>
  </si>
  <si>
    <t>UEZ-7772</t>
  </si>
  <si>
    <t>Abbott-BOPS Data Project and BI Development – 2026</t>
  </si>
  <si>
    <t>UEZ-8232</t>
  </si>
  <si>
    <t>Genfare- ProdOps</t>
  </si>
  <si>
    <t>UEZ-8308</t>
  </si>
  <si>
    <t>Genfare-Program management</t>
  </si>
  <si>
    <t>UEZ-7770</t>
  </si>
  <si>
    <t>Abbott-ADC SPARK Veeva Support - 2026</t>
  </si>
  <si>
    <t>UEZ-7746</t>
  </si>
  <si>
    <t>Abbott-AEM Developers for Gravity Support-2026</t>
  </si>
  <si>
    <t>UEZ-7744</t>
  </si>
  <si>
    <t>Abbott-ADC eCom Webshop UAT Testing - 2026</t>
  </si>
  <si>
    <t>UEZ-8043</t>
  </si>
  <si>
    <t>Ascend-NASM-Engagement-(CY-26)</t>
  </si>
  <si>
    <t>UEZ-7587</t>
  </si>
  <si>
    <t>UNICEF-IT Services</t>
  </si>
  <si>
    <t>UEZ-7812</t>
  </si>
  <si>
    <t>UNICEF–Vaccines Enhancements and Support for 2026</t>
  </si>
  <si>
    <t>UEZ-8289</t>
  </si>
  <si>
    <t>ParentPay-Data Engineering-Ext</t>
  </si>
  <si>
    <t>UEZ-7768</t>
  </si>
  <si>
    <t>Abbott-ADC Compliance Support - 2026</t>
  </si>
  <si>
    <t>UEZ-7944</t>
  </si>
  <si>
    <t>Ascend Learning - Dedicated Analytics</t>
  </si>
  <si>
    <t>UEZ-7740</t>
  </si>
  <si>
    <t>Abbott-ADC eCom Webshop UAT Testing - Additional Testers – 2026</t>
  </si>
  <si>
    <t>UEZ-7769</t>
  </si>
  <si>
    <t>Abbott-ADC FSL EMEA Gravity – DevOps Support – 2026</t>
  </si>
  <si>
    <t>UEZ-7737</t>
  </si>
  <si>
    <t>Abbott-ABOTQ00005849-ESL ADC Germany DevOps and Testers 2026</t>
  </si>
  <si>
    <t>UEZ-7742</t>
  </si>
  <si>
    <t>Abbott-ABOTQ00005866 - GMEA AEM Content Author SOW 2026</t>
  </si>
  <si>
    <t>UEZ-7761</t>
  </si>
  <si>
    <t>Abbott-ABOTQ00005839-ADC DE 2026 Projects</t>
  </si>
  <si>
    <t>UEZ-7739</t>
  </si>
  <si>
    <t>Abbott-ABOTQ00005848-ESL ADC Field Action DevOps 2026</t>
  </si>
  <si>
    <t>UEZ-7741</t>
  </si>
  <si>
    <t>Abbott-ABOTQ00005749 - ESL Platform KTLO Support and ADC US Content Authoring Support 2026</t>
  </si>
  <si>
    <t>UEZ-8284</t>
  </si>
  <si>
    <t>Accion-MyCardioGen App</t>
  </si>
  <si>
    <t>UEZ-7763</t>
  </si>
  <si>
    <t>Abbott-UAT Support for Unity and IPC – 2026</t>
  </si>
  <si>
    <t>UEZ-8283</t>
  </si>
  <si>
    <t>Abbott-ADC SME for Data Consulting 2026</t>
  </si>
  <si>
    <t>UEZ-7743</t>
  </si>
  <si>
    <t>Abbott-ABOTQ00005857- IM Databricks Architect 2026</t>
  </si>
  <si>
    <t>UEZ-7586</t>
  </si>
  <si>
    <t>CVS-e-ZEST 2026-001 Customization BRT and eBCA Tool</t>
  </si>
  <si>
    <t>UEZ-8280</t>
  </si>
  <si>
    <t>EEEC-Auto tester</t>
  </si>
  <si>
    <t>UEZ-8279</t>
  </si>
  <si>
    <t>EEEC-DeltaV Live Conversion</t>
  </si>
  <si>
    <t>UEZ-8278</t>
  </si>
  <si>
    <t>EEEC-Tool Factory</t>
  </si>
  <si>
    <t>UEZ-7723</t>
  </si>
  <si>
    <t>ILO-Devops Implementation and Production Support (Offshore)-Ext</t>
  </si>
  <si>
    <t>UEZ-7681</t>
  </si>
  <si>
    <t>Ascend-Adobe Commerce</t>
  </si>
  <si>
    <t>UEZ-7764</t>
  </si>
  <si>
    <t>Abbott-Data Analyst Support 2026</t>
  </si>
  <si>
    <t>UEZ-8277</t>
  </si>
  <si>
    <t>UNICEF - SAP Fiori Developer</t>
  </si>
  <si>
    <t>UEZ-8272</t>
  </si>
  <si>
    <t>Bayer-Java Backend Developer</t>
  </si>
  <si>
    <t>UEZ-7662</t>
  </si>
  <si>
    <t>UEZ-8271</t>
  </si>
  <si>
    <t>Abbott - PM Support for UAR transformation and C360 - 2026</t>
  </si>
  <si>
    <t>UEZ-8132</t>
  </si>
  <si>
    <t>WWT–WIFI Project Co-ordination</t>
  </si>
  <si>
    <t>UEZ-8269</t>
  </si>
  <si>
    <t>Talution-Symitar Developer</t>
  </si>
  <si>
    <t>Abbott - ADC EMEA Data Landscape Assessment &amp; Spain Order Reporting</t>
  </si>
  <si>
    <t>UEZ-8019</t>
  </si>
  <si>
    <t>Unicef-SMT-Phase-7</t>
  </si>
  <si>
    <t>UEZ-7694</t>
  </si>
  <si>
    <t>Ascend -Dynamics CRM</t>
  </si>
  <si>
    <t>UEZ-7286</t>
  </si>
  <si>
    <t>BanCAPs-Support &amp; Enhancement Track-CY(26)</t>
  </si>
  <si>
    <t>UEZ-8266</t>
  </si>
  <si>
    <t>WHO-Modern Workplace Adoption Specialist</t>
  </si>
  <si>
    <t>UEZ-7651</t>
  </si>
  <si>
    <t>Magnifact-T&amp;M</t>
  </si>
  <si>
    <t>UEZ-7922</t>
  </si>
  <si>
    <t>Viavi-Gen-AI Foundation Team</t>
  </si>
  <si>
    <t>UEZ-7946</t>
  </si>
  <si>
    <t>Samsara-Zendesk Support Team</t>
  </si>
  <si>
    <t>UEZ-8141</t>
  </si>
  <si>
    <t>Simplicity-Walla-Web App Development &amp; Support-(FY 26)</t>
  </si>
  <si>
    <t>UEZ-8233</t>
  </si>
  <si>
    <t>Genfare -UI/UX</t>
  </si>
  <si>
    <t>UEZ-8221</t>
  </si>
  <si>
    <t>Genfare-Dragonfly Implementation Service</t>
  </si>
  <si>
    <t>UEZ-8149</t>
  </si>
  <si>
    <t>UEZ-7715</t>
  </si>
  <si>
    <t>J&amp;J - Supply Chain Reporting &amp; Data Science for Q4 2025</t>
  </si>
  <si>
    <t>UEZ-8144</t>
  </si>
  <si>
    <t>Intelebee Development-(CY26)</t>
  </si>
  <si>
    <t>UEZ-7684</t>
  </si>
  <si>
    <t>LE3.0 - Nexus product development – Jan-26 to Jun-26</t>
  </si>
  <si>
    <t>UEZ-7762</t>
  </si>
  <si>
    <t>Abbott-ABOTQ00005840-ADC DE 2026 QA</t>
  </si>
  <si>
    <t>UEZ-8127</t>
  </si>
  <si>
    <t>Samsara-Zendesk Research for Various Projects</t>
  </si>
  <si>
    <t>UEZ-7450</t>
  </si>
  <si>
    <t>DPR - Resource Engagement</t>
  </si>
  <si>
    <t>UEZ-8214</t>
  </si>
  <si>
    <t>UNICC-Senior Full-Stack Developer-(203654931)</t>
  </si>
  <si>
    <t>UEZ-8212</t>
  </si>
  <si>
    <t>Unicef-Data Integration Modernization and Opt</t>
  </si>
  <si>
    <t>UEZ-8250</t>
  </si>
  <si>
    <t>J&amp;J IBP Platform Development</t>
  </si>
  <si>
    <t>UEZ-7285</t>
  </si>
  <si>
    <t>Doral-Development and Support-CY(26)</t>
  </si>
  <si>
    <t>UEZ-7284</t>
  </si>
  <si>
    <t>Doral - Senior Technical Architect-CY(26)</t>
  </si>
  <si>
    <t>UEZ-7716</t>
  </si>
  <si>
    <t>J&amp;J- e-Zest IM Supply Chain Planning Excellence Reporting 2026</t>
  </si>
  <si>
    <t>UEZ-7699</t>
  </si>
  <si>
    <t>J&amp;J - Panorama</t>
  </si>
  <si>
    <t>UEZ-8213</t>
  </si>
  <si>
    <t>Unicef-Senior Quality Assurance Analyst-Ext</t>
  </si>
  <si>
    <t>UEZ-7197</t>
  </si>
  <si>
    <t>UNICEF-Mid level Integration Developer</t>
  </si>
  <si>
    <t>UEZ-7291</t>
  </si>
  <si>
    <t>OPCW-IT Consultancy (330241)-Offshore-EXT</t>
  </si>
  <si>
    <t>UEZ-8260</t>
  </si>
  <si>
    <t>Accion-Unity -Development and Implementation</t>
  </si>
  <si>
    <t>UEZ-8137</t>
  </si>
  <si>
    <t>Worksoft-Integration</t>
  </si>
  <si>
    <t>UEZ-7485</t>
  </si>
  <si>
    <t>OPCW-BI Developer-(330240)</t>
  </si>
  <si>
    <t>UEZ-8256</t>
  </si>
  <si>
    <t>Avalara-MarkOps - Sr. Marketing Analyst (MAI)</t>
  </si>
  <si>
    <t>UEZ-7738</t>
  </si>
  <si>
    <t>Abbott-ABOTQ00005788 - 2026 Magento Architect - AbbottStore &amp; AEM Developer</t>
  </si>
  <si>
    <t>UEZ-7771</t>
  </si>
  <si>
    <t>Abbott-DE Customer Analytics Dashboard 2026</t>
  </si>
  <si>
    <t>UEZ-7766</t>
  </si>
  <si>
    <t>Abbott-ADC SME for Unity and Tester 2026</t>
  </si>
  <si>
    <t>UEZ-8246</t>
  </si>
  <si>
    <t>Accion-Hudson</t>
  </si>
  <si>
    <t>UEZ-7685</t>
  </si>
  <si>
    <t>Genfare-G L 3.0</t>
  </si>
  <si>
    <t>UEZ-7687</t>
  </si>
  <si>
    <t>EEEC - Technology</t>
  </si>
  <si>
    <t>UEZ-8226</t>
  </si>
  <si>
    <t>Accion-Solis Mammo Automation</t>
  </si>
  <si>
    <t>UEZ-8211</t>
  </si>
  <si>
    <t>WHO –SharePoint Admin (M365) System Eng</t>
  </si>
  <si>
    <t>UEZ-8210</t>
  </si>
  <si>
    <t>IAEA - (NSNS) Offshore</t>
  </si>
  <si>
    <t>UEZ-8206</t>
  </si>
  <si>
    <t>NICSI-NIC Education-Ext</t>
  </si>
  <si>
    <t>UEZ-8205</t>
  </si>
  <si>
    <t>NICSI-Health Services-(Ext)</t>
  </si>
  <si>
    <t>UEZ-8204</t>
  </si>
  <si>
    <t>IT Consultancy Services (Austria)-ISS 2026</t>
  </si>
  <si>
    <t>UEZ-8203</t>
  </si>
  <si>
    <t>IAEA-NSNS-Frontend Development-Ext</t>
  </si>
  <si>
    <t>UEZ-8194</t>
  </si>
  <si>
    <t>Accion - Hooked On Talent</t>
  </si>
  <si>
    <t>UEZ-8193</t>
  </si>
  <si>
    <t>Accion - Acclaro L&amp;T</t>
  </si>
  <si>
    <t>UEZ-8192</t>
  </si>
  <si>
    <t>Accion - Everbridge</t>
  </si>
  <si>
    <t>UEZ-8191</t>
  </si>
  <si>
    <t>Accion - (CBC) - DataVerify AI Dev</t>
  </si>
  <si>
    <t>UEZ-8190</t>
  </si>
  <si>
    <t>Accion - (CBC) - GenAI Architect Engagement</t>
  </si>
  <si>
    <t>UEZ-8189</t>
  </si>
  <si>
    <t>Accion - (BLDR) Smart Quotation System</t>
  </si>
  <si>
    <t>UEZ-8188</t>
  </si>
  <si>
    <t>Accion - (BLDR) Blueprint &amp; Floorplan Digitization System</t>
  </si>
  <si>
    <t>UEZ-8187</t>
  </si>
  <si>
    <t>Accion - MSA Pool(IMS)</t>
  </si>
  <si>
    <t>UEZ-8186</t>
  </si>
  <si>
    <t>Accion - LeadVenture (MotoMate123)</t>
  </si>
  <si>
    <t>UEZ-8185</t>
  </si>
  <si>
    <t>Accion - Thermofisher</t>
  </si>
  <si>
    <t>UEZ-8184</t>
  </si>
  <si>
    <t>Accion - Bright Query</t>
  </si>
  <si>
    <t>UEZ-8183</t>
  </si>
  <si>
    <t>Accion - Xybion</t>
  </si>
  <si>
    <t>UEZ-8182</t>
  </si>
  <si>
    <t>Accion - Wesco eCommerce EDC</t>
  </si>
  <si>
    <t>UEZ-8181</t>
  </si>
  <si>
    <t>Accion - Rotary</t>
  </si>
  <si>
    <t>UEZ-8180</t>
  </si>
  <si>
    <t>Accion - Lead Venture CMS</t>
  </si>
  <si>
    <t>UEZ-8179</t>
  </si>
  <si>
    <t>Accion - LIMS</t>
  </si>
  <si>
    <t>UEZ-8178</t>
  </si>
  <si>
    <t>Accion - IEEE Development</t>
  </si>
  <si>
    <t>UEZ-8177</t>
  </si>
  <si>
    <t>Accion - FINVI</t>
  </si>
  <si>
    <t>UEZ-8176</t>
  </si>
  <si>
    <t>Avalara-MarTech’s AEM Development</t>
  </si>
  <si>
    <t>UEZ-8175</t>
  </si>
  <si>
    <t>Avalara-GAI-Data Engineering</t>
  </si>
  <si>
    <t>UEZ-8174</t>
  </si>
  <si>
    <t>Accion -(Cision) - Brandwatch UIM</t>
  </si>
  <si>
    <t>UEZ-8173</t>
  </si>
  <si>
    <t>Accion - Cision</t>
  </si>
  <si>
    <t>UEZ-8172</t>
  </si>
  <si>
    <t>Accion - Emolecules</t>
  </si>
  <si>
    <t>UEZ-8171</t>
  </si>
  <si>
    <t>Avalara-MarkOps-Analytics Team</t>
  </si>
  <si>
    <t>UEZ-8170</t>
  </si>
  <si>
    <t>Accion - (Covetrus) - Team Kaveri</t>
  </si>
  <si>
    <t>UEZ-8169</t>
  </si>
  <si>
    <t>Accion (Cision) - CEDROM</t>
  </si>
  <si>
    <t>UEZ-8168</t>
  </si>
  <si>
    <t>Avalara-MarkOps - Digital Producer</t>
  </si>
  <si>
    <t>UEZ-8167</t>
  </si>
  <si>
    <t>Accion - Veracode</t>
  </si>
  <si>
    <t>UEZ-8166</t>
  </si>
  <si>
    <t>Accion - Syndigo LLC</t>
  </si>
  <si>
    <t>UEZ-8165</t>
  </si>
  <si>
    <t>Accion(Motifworks) - Diesel Direct-Migration</t>
  </si>
  <si>
    <t>UEZ-8164</t>
  </si>
  <si>
    <t>Avalara- GAI-Data Engineering &amp; BI</t>
  </si>
  <si>
    <t>UEZ-8163</t>
  </si>
  <si>
    <t>Accion-LeadVenture</t>
  </si>
  <si>
    <t>UEZ-8162</t>
  </si>
  <si>
    <t>Accion -Cinch</t>
  </si>
  <si>
    <t>UEZ-8161</t>
  </si>
  <si>
    <t>Accion-(Motifwork)- Atlas Oil</t>
  </si>
  <si>
    <t>UEZ-8160</t>
  </si>
  <si>
    <t>Accion - (Motifwork) - DwyerOmega</t>
  </si>
  <si>
    <t>UEZ-8159</t>
  </si>
  <si>
    <t>Accion (Motifworks) - Choice Bank project (AI Architect)</t>
  </si>
  <si>
    <t>UEZ-8158</t>
  </si>
  <si>
    <t>Accion(Motifwork)-Diesel Direct GenAI</t>
  </si>
  <si>
    <t>UEZ-8157</t>
  </si>
  <si>
    <t>Accion (Motifworks) - LabCorp</t>
  </si>
  <si>
    <t>UEZ-8156</t>
  </si>
  <si>
    <t>Accion-(Motifworks)-WWR-Adopting AI for Process Automation &amp; Generative Analytics</t>
  </si>
  <si>
    <t>UEZ-8155</t>
  </si>
  <si>
    <t>Avalara -MarkOps-DXD Team</t>
  </si>
  <si>
    <t>UEZ-8154</t>
  </si>
  <si>
    <t>Accion (Motifworks) - WWR, Ingenovis, Conservice - PAT</t>
  </si>
  <si>
    <t>UEZ-8153</t>
  </si>
  <si>
    <t>Avalara Ltd - BI Analytic Engineer</t>
  </si>
  <si>
    <t>UEZ-8152</t>
  </si>
  <si>
    <t>Avalara Ltd-Event Management-Ext</t>
  </si>
  <si>
    <t>UEZ-8151</t>
  </si>
  <si>
    <t>Avalara Ltd-AEM Template &amp; AEM DAM</t>
  </si>
  <si>
    <t>UEZ-8150</t>
  </si>
  <si>
    <t>Avalara-Visual Designer</t>
  </si>
  <si>
    <t>UEZ-8147</t>
  </si>
  <si>
    <t>Accion (Motifwork) - Alix Partner</t>
  </si>
  <si>
    <t>UEZ-8146</t>
  </si>
  <si>
    <t>Accion - (Motifworks) - Conservice</t>
  </si>
  <si>
    <t>UEZ-8145</t>
  </si>
  <si>
    <t>Accion (Motifworks) - Conservice SFA</t>
  </si>
  <si>
    <t>UEZ-8143</t>
  </si>
  <si>
    <t>Accion (Motifwork) - Single Family Discovery Workshop</t>
  </si>
  <si>
    <t>UEZ-8139</t>
  </si>
  <si>
    <t>Accion Motifworks - Neighbourly</t>
  </si>
  <si>
    <t>UEZ-8138</t>
  </si>
  <si>
    <t>Accion - Mac. Papers Managed Services Support</t>
  </si>
  <si>
    <t>UEZ-8135</t>
  </si>
  <si>
    <t>Accion - Pollard Banknote Ltd</t>
  </si>
  <si>
    <t>UEZ-8134</t>
  </si>
  <si>
    <t>Efficacious-Best of Image Search - Phase III- Simplification &amp; Stickiness</t>
  </si>
  <si>
    <t>UEZ-8133</t>
  </si>
  <si>
    <t>RUSH-Commercial Fleet Technologies-(CY 26)</t>
  </si>
  <si>
    <t>UEZ-8130</t>
  </si>
  <si>
    <t>UEZ-8129</t>
  </si>
  <si>
    <t>Nityo-BNYM-Project Manager</t>
  </si>
  <si>
    <t>UEZ-8128</t>
  </si>
  <si>
    <t>Medline- Senior FinOps Consultant</t>
  </si>
  <si>
    <t>UEZ-8125</t>
  </si>
  <si>
    <t>IAEA (Austria) - SGIS Software Developer(Web/JavaScript/Python)-Ext</t>
  </si>
  <si>
    <t>UEZ-8126</t>
  </si>
  <si>
    <t>IT Consultancy Services (Austria) - SGIS Software Developer (Devops)-Ext</t>
  </si>
  <si>
    <t>UEZ-8123</t>
  </si>
  <si>
    <t>Magnit -IT Service</t>
  </si>
  <si>
    <t>UEZ-8122</t>
  </si>
  <si>
    <t>IAEA-Software Developer(Python)-SGIS-Onsite-Ext</t>
  </si>
  <si>
    <t>UEZ-8120</t>
  </si>
  <si>
    <t>UEZ-8119</t>
  </si>
  <si>
    <t>WWT – Chevron – Senior AV Eng</t>
  </si>
  <si>
    <t>UEZ-8118</t>
  </si>
  <si>
    <t>UEZ-8117</t>
  </si>
  <si>
    <t>WWT AS –Wingstop Project</t>
  </si>
  <si>
    <t>UEZ-8116</t>
  </si>
  <si>
    <t>CRIF IT Consulting Services</t>
  </si>
  <si>
    <t>UEZ-8115</t>
  </si>
  <si>
    <t>UEZ-8114</t>
  </si>
  <si>
    <t>UEZ-8113</t>
  </si>
  <si>
    <t>UEZ-8112</t>
  </si>
  <si>
    <t>WWT-LSEG</t>
  </si>
  <si>
    <t>UEZ-8111</t>
  </si>
  <si>
    <t>UEZ-8110</t>
  </si>
  <si>
    <t>WWT – LTIM Network Eng</t>
  </si>
  <si>
    <t>UEZ-8044</t>
  </si>
  <si>
    <t>Avalara-AEM Development - Extended Team</t>
  </si>
  <si>
    <t>UEZ-7686</t>
  </si>
  <si>
    <t>EEEC-EEEC P M O</t>
  </si>
  <si>
    <t>UEZ-7689</t>
  </si>
  <si>
    <t>EEEC - Life Sciences</t>
  </si>
  <si>
    <t>UEZ-7690</t>
  </si>
  <si>
    <t>EEEC - Modernization</t>
  </si>
  <si>
    <t>UEZ-7695</t>
  </si>
  <si>
    <t>J&amp;J– NRP DRP EDC</t>
  </si>
  <si>
    <t>UEZ-7702</t>
  </si>
  <si>
    <t>Anixter - WESCO INTEGRATION SUPPORT</t>
  </si>
  <si>
    <t>UEZ-7730</t>
  </si>
  <si>
    <t>Abbott-ABOTQ00005713 : CoreDX/Visualization -2026</t>
  </si>
  <si>
    <t>UEZ-8014</t>
  </si>
  <si>
    <t>Avalara-Partner Marketing Specialist</t>
  </si>
  <si>
    <t>UEZ-7978</t>
  </si>
  <si>
    <t>OPCW-BI Development-Ext</t>
  </si>
  <si>
    <t>UEZ-7947</t>
  </si>
  <si>
    <t>Diamanti Inc.</t>
  </si>
  <si>
    <t>Diamanti-Build-Operate-Transfer (BOT) model-(Jul 26 to Dec 26)</t>
  </si>
  <si>
    <t>UEZ-7926</t>
  </si>
  <si>
    <t>J&amp;J-Reporting Factory</t>
  </si>
  <si>
    <t>UEZ-7925</t>
  </si>
  <si>
    <t>LE3.0 - Nexus product development – Jul-26 to Dec-26</t>
  </si>
  <si>
    <t>UEZ-7520</t>
  </si>
  <si>
    <t>Diamanti-Build-Operate-Transfer (BOT) model</t>
  </si>
  <si>
    <t>UEZ-7767</t>
  </si>
  <si>
    <t>Abbott-Integration PM for BAU MuleSoft in 2026</t>
  </si>
  <si>
    <t>UEZ-7751</t>
  </si>
  <si>
    <t>Abbott-PM Support for UAR transformation and C360 - 2026</t>
  </si>
  <si>
    <t>UEZ-7725</t>
  </si>
  <si>
    <t>NICSI-Confonet-Team</t>
  </si>
  <si>
    <t>UEZ-7724</t>
  </si>
  <si>
    <t>IAEA-IT Consultancy BSS(Offshore) 2026</t>
  </si>
  <si>
    <t>UEZ-7719</t>
  </si>
  <si>
    <t>GPA-Data Integration Framework Supp. &amp; Dev-T&amp;M</t>
  </si>
  <si>
    <t>UEZ-7703</t>
  </si>
  <si>
    <t>IAEA-MTIT-BTCS-Offsite ServiceNow</t>
  </si>
  <si>
    <t>UEZ-7663</t>
  </si>
  <si>
    <t>WALWIL-Android scanner App–Phase 4(Sup)</t>
  </si>
  <si>
    <t>UEZ-7658</t>
  </si>
  <si>
    <t>Walwil -Scheduling Application</t>
  </si>
  <si>
    <t>UEZ-7657</t>
  </si>
  <si>
    <t>ITxM- Technical Support</t>
  </si>
  <si>
    <t>UEZ-7589</t>
  </si>
  <si>
    <t>WALWIL-Android mobile scanner app Tech issue resolution</t>
  </si>
  <si>
    <t>UEZ-7588</t>
  </si>
  <si>
    <t>WALWIL-Equipment Management</t>
  </si>
  <si>
    <t>UEZ-7585</t>
  </si>
  <si>
    <t>CWT-WebPEM - Hosting Services(CY 26)</t>
  </si>
  <si>
    <t>UEZ-7583</t>
  </si>
  <si>
    <t>CWT-WebPem - Maintenance &amp; Support Services(CY26)</t>
  </si>
  <si>
    <t>UEZ-7518</t>
  </si>
  <si>
    <t>CWT-RoomIt Collections and Operations Team</t>
  </si>
  <si>
    <t>Vida Bank Ltd.</t>
  </si>
  <si>
    <t>UEZ-7283</t>
  </si>
  <si>
    <t>Bayer-L1 Support - Farmris and Plantect application-CY(26)</t>
  </si>
  <si>
    <t>BAYER SCIENCE AND INNOVATION PRIVATE LIMITED</t>
  </si>
  <si>
    <t>3259 Emerson Export Engineering Centre : EEEC-Life Sciences</t>
  </si>
  <si>
    <t>Unity extension to actuals - Allocation extended for 3 TMs (Pradeep, Vani &amp; Zeeshan) until 31st Dec 2026</t>
  </si>
  <si>
    <t>Unity extension to actuals. Contract extended for 1 year until 31st Mar 2027 for 1 TM (Anveshan)
Total Addition: $103K</t>
  </si>
  <si>
    <t>Unity extension to actuals - Allocation extended for 2 TMs (Sahil &amp; Jagruti) until 31st Dec 2026</t>
  </si>
  <si>
    <t>Unity extension to actuals - Allocation extended for 2 TMs (Rutuja &amp; Ritesh) until 31st Dec 2026</t>
  </si>
  <si>
    <t>Unity extension to actuals - Allocation extended for 1 TM (Srihari) until 31st Dec 2026</t>
  </si>
  <si>
    <t>Unity extension to actuals - Allocation extended for 2 TMs (Geet &amp; Narender) until 31st Dec 2026</t>
  </si>
  <si>
    <t>Unity extension to actuals - Allocation extended for 1 TM (Tanmay) until 30th June 2026</t>
  </si>
  <si>
    <t>Direct in Actuals - 1 TM ( Levina's ) replacement of Santosh Kumar onboarded from 20th Mar 2026 until 8th May 2026</t>
  </si>
  <si>
    <t>Unity extension to actuals - Allocation extended for 1 TM (Anurag) until 31st Dec 2026</t>
  </si>
  <si>
    <t>Direct in Actuals - 1 TM ( Prajakta) from 23rd Mar 2026 until 30th June 2026</t>
  </si>
  <si>
    <t>Unity extension to actuals - Allocation extended for 1 TM (Vaibhav) until 31st Dec 2026
May 2026 - 1 TM (Pooja D) will be on Marriage leave (4th to 22nd May 2026)</t>
  </si>
  <si>
    <t>Sylvia transferred to client payroll from 19th March 2026.Transfer Fee for Sylvia added in Mar 2026.
Replacement resource (Mahima) added billable from 23rd Mar 2026</t>
  </si>
  <si>
    <t>Additional Revenue - Invoice raised for Jan 2026 &amp; Feb 2026</t>
  </si>
  <si>
    <t>Unity Extension to Actuals- Revenue revised as per the avaliable days in PO</t>
  </si>
  <si>
    <t>Additional Revenue - Invoice raised for Jan 2026</t>
  </si>
  <si>
    <t>Additional Revenue - Invoice raised for Feb 2026</t>
  </si>
  <si>
    <t>Invoice raised for Jan 2026</t>
  </si>
  <si>
    <t>Invoice raised for Feb 2026</t>
  </si>
  <si>
    <t>Revenue reconciled. 1 TM ( Mayuri Mantri) will be allocated on a new project. Proposal submitted, awaiting confirmation from customer on allocation start date</t>
  </si>
  <si>
    <t>Revenue reconciled 1 TM (Dejan) was on unpaid leave until 15th July 2026, however he has resigned. Currently no replacement is requested by customer</t>
  </si>
  <si>
    <t>Addition</t>
  </si>
  <si>
    <t>Revenue reconciled- Balance days removed</t>
  </si>
  <si>
    <t>Deletion</t>
  </si>
  <si>
    <t>Projections for Mahesh removed as billing start date is under dicussion</t>
  </si>
  <si>
    <t>Revenue reconciled - 1 TM ( Umamahesh) will be relased from 31st Mar 2026</t>
  </si>
  <si>
    <t>Revenue Reconciled - 3 TMs (Prasad, Yogesh &amp; Apurva) getting released from 31st Mar 2026.</t>
  </si>
  <si>
    <t>Creiss</t>
  </si>
  <si>
    <t>ParentPay</t>
  </si>
  <si>
    <t>ILO</t>
  </si>
  <si>
    <t>IOM</t>
  </si>
  <si>
    <t>OPCW</t>
  </si>
  <si>
    <t>Viavi</t>
  </si>
  <si>
    <t>DPR Consulting</t>
  </si>
  <si>
    <t>UNICC</t>
  </si>
  <si>
    <t>IAEA</t>
  </si>
  <si>
    <t>Diamanti</t>
  </si>
  <si>
    <t>GPA</t>
  </si>
  <si>
    <t>2W</t>
  </si>
  <si>
    <t>Vida Bank</t>
  </si>
  <si>
    <t>The OPEC Fund</t>
  </si>
  <si>
    <t>GCF</t>
  </si>
  <si>
    <t>Assura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</si>
</sst>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7" formatCode="_-[$$-409]* #,##0.00_ ;_-[$$-409]* \-#,##0.00\ ;_-[$$-409]* &quot;-&quot;??_ ;_-@_ "/>
    <numFmt numFmtId="168" formatCode="[$-409]mmm\-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44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17" fontId="2" fillId="2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164" fontId="0" fillId="0" borderId="1" xfId="1" applyNumberFormat="1" applyFont="1" applyFill="1" applyBorder="1" applyAlignment="1"/>
    <xf numFmtId="164" fontId="0" fillId="3" borderId="1" xfId="1" applyNumberFormat="1" applyFont="1" applyFill="1" applyBorder="1" applyAlignment="1"/>
    <xf numFmtId="0" fontId="0" fillId="3" borderId="1" xfId="0" applyFill="1" applyBorder="1"/>
    <xf numFmtId="14" fontId="0" fillId="3" borderId="1" xfId="0" applyNumberFormat="1" applyFill="1" applyBorder="1"/>
    <xf numFmtId="0" fontId="0" fillId="0" borderId="2" xfId="0" applyBorder="1"/>
    <xf numFmtId="164" fontId="0" fillId="4" borderId="1" xfId="1" applyNumberFormat="1" applyFont="1" applyFill="1" applyBorder="1" applyAlignment="1"/>
    <xf numFmtId="164" fontId="2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/>
    <xf numFmtId="22" fontId="0" fillId="0" borderId="1" xfId="0" applyNumberFormat="1" applyBorder="1"/>
    <xf numFmtId="0" fontId="2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43" fontId="0" fillId="0" borderId="0" xfId="0" applyNumberFormat="1"/>
    <xf numFmtId="0" fontId="3" fillId="0" borderId="0" xfId="0" applyFont="1" applyAlignment="1">
      <alignment horizontal="center" vertical="center"/>
    </xf>
    <xf numFmtId="43" fontId="0" fillId="0" borderId="0" xfId="0" applyNumberFormat="1" applyAlignment="1">
      <alignment vertical="top"/>
    </xf>
    <xf numFmtId="0" fontId="0" fillId="0" borderId="1" xfId="0" applyBorder="1" applyAlignment="1">
      <alignment horizontal="center"/>
    </xf>
    <xf numFmtId="164" fontId="8" fillId="6" borderId="1" xfId="1" applyNumberFormat="1" applyFont="1" applyFill="1" applyBorder="1" applyAlignment="1">
      <alignment horizontal="center" vertical="center"/>
    </xf>
    <xf numFmtId="164" fontId="1" fillId="0" borderId="1" xfId="1" applyNumberFormat="1" applyFont="1" applyFill="1" applyBorder="1"/>
    <xf numFmtId="164" fontId="0" fillId="0" borderId="1" xfId="1" applyNumberFormat="1" applyFont="1" applyBorder="1"/>
    <xf numFmtId="43" fontId="6" fillId="0" borderId="1" xfId="1" applyFont="1" applyFill="1" applyBorder="1" applyAlignment="1">
      <alignment horizontal="center" vertical="center" wrapText="1"/>
    </xf>
    <xf numFmtId="164" fontId="1" fillId="0" borderId="1" xfId="1" applyNumberFormat="1" applyFont="1" applyBorder="1"/>
    <xf numFmtId="0" fontId="0" fillId="0" borderId="1" xfId="0" applyBorder="1" applyAlignment="1">
      <alignment horizontal="center" vertical="center"/>
    </xf>
    <xf numFmtId="164" fontId="8" fillId="6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165" fontId="0" fillId="7" borderId="1" xfId="2" applyFont="1" applyFill="1" applyBorder="1" applyAlignment="1">
      <alignment vertical="top"/>
    </xf>
    <xf numFmtId="164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1" xfId="2" applyNumberFormat="1" applyFont="1" applyBorder="1" applyAlignment="1">
      <alignment vertical="top" wrapText="1"/>
    </xf>
    <xf numFmtId="164" fontId="0" fillId="0" borderId="0" xfId="2" applyNumberFormat="1" applyFont="1" applyBorder="1" applyAlignment="1">
      <alignment vertical="top" wrapText="1"/>
    </xf>
    <xf numFmtId="164" fontId="0" fillId="0" borderId="3" xfId="2" applyNumberFormat="1" applyFont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horizontal="center" vertical="top" wrapText="1"/>
    </xf>
    <xf numFmtId="168" fontId="3" fillId="7" borderId="3" xfId="0" applyNumberFormat="1" applyFont="1" applyFill="1" applyBorder="1" applyAlignment="1">
      <alignment horizontal="center" vertical="top" wrapText="1"/>
    </xf>
    <xf numFmtId="168" fontId="3" fillId="7" borderId="0" xfId="0" applyNumberFormat="1" applyFont="1" applyFill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10" fillId="8" borderId="4" xfId="3" applyFont="1" applyFill="1" applyBorder="1" applyAlignment="1">
      <alignment horizontal="center" vertical="top" wrapText="1"/>
    </xf>
    <xf numFmtId="0" fontId="10" fillId="8" borderId="1" xfId="3" applyFont="1" applyFill="1" applyBorder="1" applyAlignment="1">
      <alignment horizontal="center" vertical="top" wrapText="1"/>
    </xf>
    <xf numFmtId="0" fontId="10" fillId="8" borderId="0" xfId="3" applyFont="1" applyFill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8" fillId="10" borderId="1" xfId="3" applyFont="1" applyFill="1" applyBorder="1" applyAlignment="1">
      <alignment horizontal="center" vertical="top" wrapText="1"/>
    </xf>
    <xf numFmtId="17" fontId="2" fillId="2" borderId="1" xfId="0" applyNumberFormat="1" applyFont="1" applyFill="1" applyBorder="1" applyAlignment="1">
      <alignment horizontal="center" vertical="top"/>
    </xf>
    <xf numFmtId="168" fontId="2" fillId="9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2" applyNumberFormat="1" applyFont="1" applyFill="1" applyBorder="1" applyAlignment="1">
      <alignment vertical="top" wrapText="1"/>
    </xf>
    <xf numFmtId="164" fontId="0" fillId="0" borderId="1" xfId="2" applyNumberFormat="1" applyFont="1" applyFill="1" applyBorder="1" applyAlignment="1">
      <alignment vertical="top"/>
    </xf>
    <xf numFmtId="0" fontId="0" fillId="11" borderId="0" xfId="0" applyFill="1" applyAlignment="1">
      <alignment horizontal="center" vertical="top" wrapText="1"/>
    </xf>
    <xf numFmtId="2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165" fontId="0" fillId="7" borderId="1" xfId="2" quotePrefix="1" applyFont="1" applyFill="1" applyBorder="1" applyAlignment="1">
      <alignment vertical="top"/>
    </xf>
    <xf numFmtId="165" fontId="0" fillId="0" borderId="1" xfId="2" applyFont="1" applyFill="1" applyBorder="1" applyAlignment="1">
      <alignment vertical="top" wrapText="1"/>
    </xf>
    <xf numFmtId="165" fontId="0" fillId="0" borderId="0" xfId="2" quotePrefix="1" applyFont="1" applyFill="1" applyBorder="1" applyAlignment="1">
      <alignment vertical="top"/>
    </xf>
    <xf numFmtId="168" fontId="3" fillId="7" borderId="1" xfId="0" applyNumberFormat="1" applyFont="1" applyFill="1" applyBorder="1" applyAlignment="1">
      <alignment horizontal="center" vertical="top" wrapText="1"/>
    </xf>
    <xf numFmtId="165" fontId="0" fillId="0" borderId="1" xfId="0" applyNumberFormat="1" applyBorder="1" applyAlignment="1">
      <alignment vertical="top" wrapText="1"/>
    </xf>
    <xf numFmtId="165" fontId="0" fillId="0" borderId="1" xfId="2" quotePrefix="1" applyFont="1" applyBorder="1" applyAlignment="1">
      <alignment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/>
    </xf>
    <xf numFmtId="164" fontId="0" fillId="0" borderId="2" xfId="2" applyNumberFormat="1" applyFont="1" applyBorder="1" applyAlignment="1">
      <alignment vertical="top" wrapText="1"/>
    </xf>
    <xf numFmtId="0" fontId="7" fillId="0" borderId="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5" fillId="0" borderId="0" xfId="0" applyFont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0" xfId="0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164" fontId="4" fillId="0" borderId="1" xfId="2" applyNumberFormat="1" applyFont="1" applyFill="1" applyBorder="1" applyAlignment="1">
      <alignment vertical="top"/>
    </xf>
    <xf numFmtId="164" fontId="1" fillId="0" borderId="1" xfId="2" applyNumberFormat="1" applyFont="1" applyFill="1" applyBorder="1" applyAlignment="1">
      <alignment horizontal="center" vertical="top"/>
    </xf>
    <xf numFmtId="164" fontId="0" fillId="0" borderId="1" xfId="2" applyNumberFormat="1" applyFont="1" applyFill="1" applyBorder="1" applyAlignment="1">
      <alignment horizontal="center" vertical="top"/>
    </xf>
    <xf numFmtId="164" fontId="1" fillId="0" borderId="1" xfId="2" applyNumberFormat="1" applyFont="1" applyFill="1" applyBorder="1" applyAlignment="1">
      <alignment vertical="top"/>
    </xf>
    <xf numFmtId="165" fontId="1" fillId="0" borderId="1" xfId="2" applyFont="1" applyFill="1" applyBorder="1" applyAlignment="1">
      <alignment vertical="top"/>
    </xf>
    <xf numFmtId="165" fontId="1" fillId="3" borderId="1" xfId="2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0" fontId="0" fillId="3" borderId="0" xfId="0" applyFill="1" applyAlignment="1">
      <alignment vertical="top"/>
    </xf>
    <xf numFmtId="0" fontId="3" fillId="0" borderId="0" xfId="0" applyFont="1" applyAlignment="1">
      <alignment vertical="top"/>
    </xf>
    <xf numFmtId="43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vertical="top"/>
    </xf>
    <xf numFmtId="165" fontId="0" fillId="0" borderId="1" xfId="0" applyNumberFormat="1" applyBorder="1" applyAlignment="1">
      <alignment vertical="top"/>
    </xf>
    <xf numFmtId="44" fontId="0" fillId="0" borderId="1" xfId="4" applyFont="1" applyBorder="1" applyAlignment="1">
      <alignment vertical="center"/>
    </xf>
    <xf numFmtId="43" fontId="0" fillId="0" borderId="1" xfId="0" applyNumberFormat="1" applyBorder="1" applyAlignment="1">
      <alignment horizontal="left" vertical="top"/>
    </xf>
    <xf numFmtId="0" fontId="0" fillId="7" borderId="1" xfId="0" applyFill="1" applyBorder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17" fontId="13" fillId="5" borderId="1" xfId="0" applyNumberFormat="1" applyFont="1" applyFill="1" applyBorder="1" applyAlignment="1">
      <alignment horizontal="center"/>
    </xf>
    <xf numFmtId="167" fontId="13" fillId="7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/>
    <xf numFmtId="167" fontId="13" fillId="13" borderId="1" xfId="0" applyNumberFormat="1" applyFont="1" applyFill="1" applyBorder="1" applyAlignment="1">
      <alignment horizontal="center" vertical="center"/>
    </xf>
    <xf numFmtId="17" fontId="1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1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4" fillId="3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</cellXfs>
  <cellStyles count="5">
    <cellStyle name="Comma" xfId="1" builtinId="3"/>
    <cellStyle name="Comma 2" xfId="2" xr:uid="{399901DC-99C2-4AB1-AF82-53906DE59AC7}"/>
    <cellStyle name="Currency" xfId="4" builtinId="4"/>
    <cellStyle name="Normal" xfId="0" builtinId="0"/>
    <cellStyle name="Normal_Sheet1" xfId="3" xr:uid="{F50F175F-B3E1-45ED-BA1B-E4C5D5C6566E}"/>
  </cellStyles>
  <dxfs count="19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4D4CC"/>
      <color rgb="FFFF9900"/>
      <color rgb="FFCCFF33"/>
      <color rgb="FF13F0F5"/>
      <color rgb="FFFF6600"/>
      <color rgb="FFF77D19"/>
      <color rgb="FF00FFFF"/>
      <color rgb="FFFF9933"/>
      <color rgb="FFFF7575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shitija Ketkar" id="{E9342D7D-653D-4DCE-845D-4B49B3A473A5}" userId="S::Kshitija.Ketkar@e-zest.com::5956bc48-acf5-47fb-842c-32d3b108cf0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3-30T15:30:26.12" personId="{E9342D7D-653D-4DCE-845D-4B49B3A473A5}" id="{46E2F008-4ACC-4995-B0A8-95BD137BC19D}">
    <text xml:space="preserve">The reason for increase in revenue in the months of Jan, Feb and Mar are attributed to below fixed cost project and their billing;
 UNICEF-Data Integration Modernization and Opt
UNICEF-CPP Supply Planning Tool
UNICEF-Power BI dashboard Project
Furthermore as these projects and their billing completed in Mar (No billing in Apr and May), there is reduction in revenue... 
</text>
  </threadedComment>
  <threadedComment ref="F8" dT="2026-04-02T10:11:12.78" personId="{E9342D7D-653D-4DCE-845D-4B49B3A473A5}" id="{BA754226-4501-4A74-9E2C-D70EFFF581D4}">
    <text>HAPT - project ended</text>
  </threadedComment>
  <threadedComment ref="G8" dT="2026-04-02T10:22:01.65" personId="{E9342D7D-653D-4DCE-845D-4B49B3A473A5}" id="{EB66D45B-33ED-4D1E-9CC5-11CFF0414FC5}">
    <text xml:space="preserve">CORTEX.AI - Fixed price project. The revenue dip is due to the delay of delivery. New requirements have introduced. The millstones were not equally distributed over the months. </text>
  </threadedComment>
  <threadedComment ref="I8" dT="2026-04-02T10:24:05.60" personId="{E9342D7D-653D-4DCE-845D-4B49B3A473A5}" id="{2EAAA0C4-1ABE-429C-9F41-7C2CA72895FA}">
    <text>HAPT Phase - 9 - Project over, Phase-10 discussion is in progress.</text>
  </threadedComment>
  <threadedComment ref="J8" dT="2026-04-02T10:24:40.94" personId="{E9342D7D-653D-4DCE-845D-4B49B3A473A5}" id="{A13E9377-2F9C-4C60-948D-A08B3344CB21}">
    <text>CORTEX&gt;AI - Projects end in May</text>
  </threadedComment>
  <threadedComment ref="F14" dT="2026-03-31T07:39:47.69" personId="{E9342D7D-653D-4DCE-845D-4B49B3A473A5}" id="{34E7A56C-F4ED-4161-8A7A-66E23C2EA6F9}">
    <text>Data Migration into Microsoft Fabric - The total value of the project is achieved. The fluctuations are due to the milestones defined by the delivery team.</text>
  </threadedComment>
  <threadedComment ref="J14" dT="2026-03-31T07:41:27.40" personId="{E9342D7D-653D-4DCE-845D-4B49B3A473A5}" id="{83D2141D-62CC-42FA-ABE5-4141526E6F85}">
    <text xml:space="preserve">Project delivered in March-26, before the scheduled delivery timelines. </text>
  </threadedComment>
  <threadedComment ref="F16" dT="2026-03-30T15:12:56.05" personId="{E9342D7D-653D-4DCE-845D-4B49B3A473A5}" id="{7D41E06F-3959-46F5-9E1A-8CA564D8DBE0}">
    <text>Joined a resource at onsite from Jan to Mar</text>
  </threadedComment>
  <threadedComment ref="H16" dT="2026-03-30T15:14:09.40" personId="{E9342D7D-653D-4DCE-845D-4B49B3A473A5}" id="{A213628D-6790-42A0-A67E-E7E4831E6D80}">
    <text>Escalation of resource for not delivering the work, client denied the payment offloaded resource</text>
  </threadedComment>
  <threadedComment ref="F26" dT="2026-03-31T07:27:55.42" personId="{E9342D7D-653D-4DCE-845D-4B49B3A473A5}" id="{AD92C914-ADF2-4A8C-89FD-B951ECEF6F0E}">
    <text xml:space="preserve">A significantly high number of leaves taken by the Confonet team this month </text>
  </threadedComment>
  <threadedComment ref="F30" dT="2026-03-31T07:52:34.34" personId="{E9342D7D-653D-4DCE-845D-4B49B3A473A5}" id="{CA9AEEBB-EC72-4692-9EB8-EDE9571E4C76}">
    <text>2 Sr. Data Engineers added to the team for 3 months</text>
  </threadedComment>
  <threadedComment ref="J30" dT="2026-03-31T07:53:05.71" personId="{E9342D7D-653D-4DCE-845D-4B49B3A473A5}" id="{B42B6CD6-6F9E-472D-84B4-FB6550A0593C}">
    <text>Additional Data Engineers will be off-boarded as per the contract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984E-8D8F-419D-B2A6-32F5E09881B3}">
  <dimension ref="B2:Q40"/>
  <sheetViews>
    <sheetView tabSelected="1" zoomScaleNormal="10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D9" sqref="D9"/>
    </sheetView>
  </sheetViews>
  <sheetFormatPr defaultRowHeight="15" x14ac:dyDescent="0.25"/>
  <cols>
    <col min="1" max="1" width="9.140625" style="121"/>
    <col min="2" max="2" width="5.7109375" style="121" bestFit="1" customWidth="1"/>
    <col min="3" max="3" width="30" style="121" customWidth="1"/>
    <col min="4" max="4" width="12.7109375" style="121" bestFit="1" customWidth="1"/>
    <col min="5" max="5" width="12.7109375" style="121" customWidth="1"/>
    <col min="6" max="17" width="10.5703125" style="121" bestFit="1" customWidth="1"/>
    <col min="18" max="16384" width="9.140625" style="121"/>
  </cols>
  <sheetData>
    <row r="2" spans="2:17" s="118" customFormat="1" ht="15" customHeight="1" x14ac:dyDescent="0.25">
      <c r="B2" s="110" t="s">
        <v>321</v>
      </c>
      <c r="C2" s="110" t="s">
        <v>220</v>
      </c>
      <c r="D2" s="110" t="s">
        <v>220</v>
      </c>
      <c r="E2" s="117">
        <v>45992</v>
      </c>
      <c r="F2" s="117">
        <v>46023</v>
      </c>
      <c r="G2" s="117">
        <v>46054</v>
      </c>
      <c r="H2" s="117">
        <v>46082</v>
      </c>
      <c r="I2" s="117">
        <v>46113</v>
      </c>
      <c r="J2" s="117">
        <v>46143</v>
      </c>
      <c r="K2" s="117">
        <v>46174</v>
      </c>
      <c r="L2" s="117">
        <v>46204</v>
      </c>
      <c r="M2" s="117">
        <v>46235</v>
      </c>
      <c r="N2" s="117">
        <v>46266</v>
      </c>
      <c r="O2" s="117">
        <v>46296</v>
      </c>
      <c r="P2" s="117">
        <v>46327</v>
      </c>
      <c r="Q2" s="117">
        <v>46357</v>
      </c>
    </row>
    <row r="3" spans="2:17" x14ac:dyDescent="0.25">
      <c r="B3" s="111">
        <v>1</v>
      </c>
      <c r="C3" s="119" t="s">
        <v>74</v>
      </c>
      <c r="D3" s="120" t="s">
        <v>74</v>
      </c>
      <c r="E3" s="116">
        <v>149700.9</v>
      </c>
      <c r="F3" s="116">
        <f>167937.94</f>
        <v>167937.94</v>
      </c>
      <c r="G3" s="116">
        <v>180777.11</v>
      </c>
      <c r="H3" s="116">
        <v>201790.34999999998</v>
      </c>
      <c r="I3" s="116">
        <v>168208.07</v>
      </c>
      <c r="J3" s="116">
        <v>139050</v>
      </c>
      <c r="K3" s="116">
        <v>139050</v>
      </c>
      <c r="L3" s="116">
        <v>139848</v>
      </c>
      <c r="M3" s="116">
        <v>139050</v>
      </c>
      <c r="N3" s="116">
        <v>139050</v>
      </c>
      <c r="O3" s="116">
        <v>139386</v>
      </c>
      <c r="P3" s="116">
        <v>138980</v>
      </c>
      <c r="Q3" s="116">
        <v>139246</v>
      </c>
    </row>
    <row r="4" spans="2:17" x14ac:dyDescent="0.25">
      <c r="B4" s="111"/>
      <c r="C4" s="119"/>
      <c r="D4" s="119"/>
      <c r="E4" s="116"/>
      <c r="F4" s="114">
        <f>F3-E3</f>
        <v>18237.040000000008</v>
      </c>
      <c r="G4" s="114">
        <f>G3-F3</f>
        <v>12839.169999999984</v>
      </c>
      <c r="H4" s="114">
        <f t="shared" ref="H4:Q4" si="0">H3-G3</f>
        <v>21013.239999999991</v>
      </c>
      <c r="I4" s="114">
        <f t="shared" si="0"/>
        <v>-33582.27999999997</v>
      </c>
      <c r="J4" s="114">
        <f t="shared" si="0"/>
        <v>-29158.070000000007</v>
      </c>
      <c r="K4" s="114">
        <f t="shared" si="0"/>
        <v>0</v>
      </c>
      <c r="L4" s="114">
        <f t="shared" si="0"/>
        <v>798</v>
      </c>
      <c r="M4" s="114">
        <f t="shared" si="0"/>
        <v>-798</v>
      </c>
      <c r="N4" s="114">
        <f t="shared" si="0"/>
        <v>0</v>
      </c>
      <c r="O4" s="114">
        <f t="shared" si="0"/>
        <v>336</v>
      </c>
      <c r="P4" s="114">
        <f t="shared" si="0"/>
        <v>-406</v>
      </c>
      <c r="Q4" s="114">
        <f t="shared" si="0"/>
        <v>266</v>
      </c>
    </row>
    <row r="5" spans="2:17" x14ac:dyDescent="0.25">
      <c r="B5" s="111">
        <v>2</v>
      </c>
      <c r="C5" s="119" t="s">
        <v>131</v>
      </c>
      <c r="D5" s="119" t="s">
        <v>965</v>
      </c>
      <c r="E5" s="116">
        <v>521.87</v>
      </c>
      <c r="F5" s="116">
        <v>583.33000000000004</v>
      </c>
      <c r="G5" s="116">
        <v>583.33000000000004</v>
      </c>
      <c r="H5" s="116">
        <v>583.33000000000004</v>
      </c>
      <c r="I5" s="116">
        <v>583.33000000000004</v>
      </c>
      <c r="J5" s="116">
        <v>583.33000000000004</v>
      </c>
      <c r="K5" s="116">
        <v>583.33000000000004</v>
      </c>
      <c r="L5" s="116">
        <v>583.33000000000004</v>
      </c>
      <c r="M5" s="116">
        <v>583.33000000000004</v>
      </c>
      <c r="N5" s="116">
        <v>583.33000000000004</v>
      </c>
      <c r="O5" s="116">
        <v>583.33000000000004</v>
      </c>
      <c r="P5" s="116">
        <v>583.33000000000004</v>
      </c>
      <c r="Q5" s="116">
        <v>583.33000000000004</v>
      </c>
    </row>
    <row r="6" spans="2:17" x14ac:dyDescent="0.25">
      <c r="B6" s="111"/>
      <c r="C6" s="119"/>
      <c r="D6" s="119"/>
      <c r="E6" s="116"/>
      <c r="F6" s="114">
        <f>F5-E5</f>
        <v>61.460000000000036</v>
      </c>
      <c r="G6" s="114">
        <f>G5-F5</f>
        <v>0</v>
      </c>
      <c r="H6" s="114">
        <f t="shared" ref="H6:Q6" si="1">H5-G5</f>
        <v>0</v>
      </c>
      <c r="I6" s="114">
        <f t="shared" si="1"/>
        <v>0</v>
      </c>
      <c r="J6" s="114">
        <f t="shared" si="1"/>
        <v>0</v>
      </c>
      <c r="K6" s="114">
        <f t="shared" si="1"/>
        <v>0</v>
      </c>
      <c r="L6" s="114">
        <f t="shared" si="1"/>
        <v>0</v>
      </c>
      <c r="M6" s="114">
        <f t="shared" si="1"/>
        <v>0</v>
      </c>
      <c r="N6" s="114">
        <f t="shared" si="1"/>
        <v>0</v>
      </c>
      <c r="O6" s="114">
        <f t="shared" si="1"/>
        <v>0</v>
      </c>
      <c r="P6" s="114">
        <f t="shared" si="1"/>
        <v>0</v>
      </c>
      <c r="Q6" s="114">
        <f t="shared" si="1"/>
        <v>0</v>
      </c>
    </row>
    <row r="7" spans="2:17" x14ac:dyDescent="0.25">
      <c r="B7" s="111">
        <v>3</v>
      </c>
      <c r="C7" s="119" t="s">
        <v>143</v>
      </c>
      <c r="D7" s="120" t="s">
        <v>73</v>
      </c>
      <c r="E7" s="116">
        <v>156579.68</v>
      </c>
      <c r="F7" s="116">
        <v>113526.37999999999</v>
      </c>
      <c r="G7" s="116">
        <v>81112.929999999993</v>
      </c>
      <c r="H7" s="116">
        <v>82878.5</v>
      </c>
      <c r="I7" s="116">
        <v>78541.540000000008</v>
      </c>
      <c r="J7" s="116">
        <v>64466.67</v>
      </c>
      <c r="K7" s="116">
        <v>64466.67</v>
      </c>
      <c r="L7" s="116">
        <v>61900</v>
      </c>
      <c r="M7" s="116">
        <v>61900</v>
      </c>
      <c r="N7" s="116">
        <v>61900</v>
      </c>
      <c r="O7" s="116">
        <v>61900</v>
      </c>
      <c r="P7" s="116">
        <v>61900</v>
      </c>
      <c r="Q7" s="116">
        <v>61900</v>
      </c>
    </row>
    <row r="8" spans="2:17" x14ac:dyDescent="0.25">
      <c r="B8" s="111"/>
      <c r="C8" s="119"/>
      <c r="D8" s="119"/>
      <c r="E8" s="116"/>
      <c r="F8" s="114">
        <f>F7-E7</f>
        <v>-43053.3</v>
      </c>
      <c r="G8" s="114">
        <f t="shared" ref="G8:Q8" si="2">G7-F7</f>
        <v>-32413.449999999997</v>
      </c>
      <c r="H8" s="114">
        <f t="shared" si="2"/>
        <v>1765.570000000007</v>
      </c>
      <c r="I8" s="114">
        <f t="shared" si="2"/>
        <v>-4336.9599999999919</v>
      </c>
      <c r="J8" s="114">
        <f t="shared" si="2"/>
        <v>-14074.87000000001</v>
      </c>
      <c r="K8" s="114">
        <f t="shared" si="2"/>
        <v>0</v>
      </c>
      <c r="L8" s="114">
        <f t="shared" si="2"/>
        <v>-2566.6699999999983</v>
      </c>
      <c r="M8" s="114">
        <f t="shared" si="2"/>
        <v>0</v>
      </c>
      <c r="N8" s="114">
        <f t="shared" si="2"/>
        <v>0</v>
      </c>
      <c r="O8" s="114">
        <f t="shared" si="2"/>
        <v>0</v>
      </c>
      <c r="P8" s="114">
        <f t="shared" si="2"/>
        <v>0</v>
      </c>
      <c r="Q8" s="114">
        <f t="shared" si="2"/>
        <v>0</v>
      </c>
    </row>
    <row r="9" spans="2:17" x14ac:dyDescent="0.25">
      <c r="B9" s="111">
        <v>4</v>
      </c>
      <c r="C9" s="119" t="s">
        <v>138</v>
      </c>
      <c r="D9" s="119" t="s">
        <v>966</v>
      </c>
      <c r="E9" s="116">
        <v>50787.29</v>
      </c>
      <c r="F9" s="116">
        <v>51556</v>
      </c>
      <c r="G9" s="116">
        <v>52345.33</v>
      </c>
      <c r="H9" s="116">
        <v>53573.33</v>
      </c>
      <c r="I9" s="116">
        <v>53573.33</v>
      </c>
      <c r="J9" s="116">
        <v>53573.33</v>
      </c>
      <c r="K9" s="116">
        <v>53573.33</v>
      </c>
      <c r="L9" s="116">
        <v>53573.33</v>
      </c>
      <c r="M9" s="116">
        <v>53573.33</v>
      </c>
      <c r="N9" s="116">
        <v>53573.33</v>
      </c>
      <c r="O9" s="116">
        <v>53573.33</v>
      </c>
      <c r="P9" s="116">
        <v>53573.33</v>
      </c>
      <c r="Q9" s="116">
        <v>53573.33</v>
      </c>
    </row>
    <row r="10" spans="2:17" x14ac:dyDescent="0.25">
      <c r="B10" s="111"/>
      <c r="C10" s="119"/>
      <c r="D10" s="119"/>
      <c r="E10" s="116"/>
      <c r="F10" s="114">
        <f>F9-E9</f>
        <v>768.70999999999913</v>
      </c>
      <c r="G10" s="114">
        <f t="shared" ref="G10:Q10" si="3">G9-F9</f>
        <v>789.33000000000175</v>
      </c>
      <c r="H10" s="114">
        <f t="shared" si="3"/>
        <v>1228</v>
      </c>
      <c r="I10" s="114">
        <f t="shared" si="3"/>
        <v>0</v>
      </c>
      <c r="J10" s="114">
        <f t="shared" si="3"/>
        <v>0</v>
      </c>
      <c r="K10" s="114">
        <f t="shared" si="3"/>
        <v>0</v>
      </c>
      <c r="L10" s="114">
        <f t="shared" si="3"/>
        <v>0</v>
      </c>
      <c r="M10" s="114">
        <f t="shared" si="3"/>
        <v>0</v>
      </c>
      <c r="N10" s="114">
        <f t="shared" si="3"/>
        <v>0</v>
      </c>
      <c r="O10" s="114">
        <f t="shared" si="3"/>
        <v>0</v>
      </c>
      <c r="P10" s="114">
        <f t="shared" si="3"/>
        <v>0</v>
      </c>
      <c r="Q10" s="114">
        <f t="shared" si="3"/>
        <v>0</v>
      </c>
    </row>
    <row r="11" spans="2:17" x14ac:dyDescent="0.25">
      <c r="B11" s="111">
        <v>5</v>
      </c>
      <c r="C11" s="119" t="s">
        <v>137</v>
      </c>
      <c r="D11" s="119" t="s">
        <v>967</v>
      </c>
      <c r="E11" s="116">
        <v>5250</v>
      </c>
      <c r="F11" s="116">
        <v>6650</v>
      </c>
      <c r="G11" s="116">
        <v>6825</v>
      </c>
      <c r="H11" s="116">
        <v>7000</v>
      </c>
      <c r="I11" s="116">
        <v>7000</v>
      </c>
      <c r="J11" s="116">
        <v>7000</v>
      </c>
      <c r="K11" s="116">
        <v>7000</v>
      </c>
      <c r="L11" s="116">
        <v>7000</v>
      </c>
      <c r="M11" s="116">
        <v>7000</v>
      </c>
      <c r="N11" s="116">
        <v>7000</v>
      </c>
      <c r="O11" s="116">
        <v>7000</v>
      </c>
      <c r="P11" s="116">
        <v>7000</v>
      </c>
      <c r="Q11" s="116">
        <v>7000</v>
      </c>
    </row>
    <row r="12" spans="2:17" x14ac:dyDescent="0.25">
      <c r="B12" s="111"/>
      <c r="C12" s="119"/>
      <c r="D12" s="119"/>
      <c r="E12" s="116"/>
      <c r="F12" s="114">
        <f>F11-E11</f>
        <v>1400</v>
      </c>
      <c r="G12" s="114">
        <f t="shared" ref="G12:Q12" si="4">G11-F11</f>
        <v>175</v>
      </c>
      <c r="H12" s="114">
        <f t="shared" si="4"/>
        <v>175</v>
      </c>
      <c r="I12" s="114">
        <f t="shared" si="4"/>
        <v>0</v>
      </c>
      <c r="J12" s="114">
        <f t="shared" si="4"/>
        <v>0</v>
      </c>
      <c r="K12" s="114">
        <f t="shared" si="4"/>
        <v>0</v>
      </c>
      <c r="L12" s="114">
        <f t="shared" si="4"/>
        <v>0</v>
      </c>
      <c r="M12" s="114">
        <f t="shared" si="4"/>
        <v>0</v>
      </c>
      <c r="N12" s="114">
        <f t="shared" si="4"/>
        <v>0</v>
      </c>
      <c r="O12" s="114">
        <f t="shared" si="4"/>
        <v>0</v>
      </c>
      <c r="P12" s="114">
        <f t="shared" si="4"/>
        <v>0</v>
      </c>
      <c r="Q12" s="114">
        <f t="shared" si="4"/>
        <v>0</v>
      </c>
    </row>
    <row r="13" spans="2:17" x14ac:dyDescent="0.25">
      <c r="B13" s="111">
        <v>6</v>
      </c>
      <c r="C13" s="119" t="s">
        <v>67</v>
      </c>
      <c r="D13" s="120" t="s">
        <v>968</v>
      </c>
      <c r="E13" s="116">
        <v>14919.5</v>
      </c>
      <c r="F13" s="116">
        <v>24032.23</v>
      </c>
      <c r="G13" s="116">
        <v>12932.71</v>
      </c>
      <c r="H13" s="116">
        <v>14990.28</v>
      </c>
      <c r="I13" s="116">
        <v>14990.28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  <c r="O13" s="116">
        <v>0</v>
      </c>
      <c r="P13" s="116">
        <v>0</v>
      </c>
      <c r="Q13" s="116">
        <v>0</v>
      </c>
    </row>
    <row r="14" spans="2:17" x14ac:dyDescent="0.25">
      <c r="B14" s="111"/>
      <c r="C14" s="119"/>
      <c r="D14" s="119"/>
      <c r="E14" s="116"/>
      <c r="F14" s="114">
        <f>F13-E13</f>
        <v>9112.73</v>
      </c>
      <c r="G14" s="114">
        <f t="shared" ref="G14:Q14" si="5">G13-F13</f>
        <v>-11099.52</v>
      </c>
      <c r="H14" s="114">
        <f t="shared" si="5"/>
        <v>2057.5700000000015</v>
      </c>
      <c r="I14" s="114">
        <f t="shared" si="5"/>
        <v>0</v>
      </c>
      <c r="J14" s="114">
        <f t="shared" si="5"/>
        <v>-14990.28</v>
      </c>
      <c r="K14" s="114">
        <f t="shared" si="5"/>
        <v>0</v>
      </c>
      <c r="L14" s="114">
        <f t="shared" si="5"/>
        <v>0</v>
      </c>
      <c r="M14" s="114">
        <f t="shared" si="5"/>
        <v>0</v>
      </c>
      <c r="N14" s="114">
        <f t="shared" si="5"/>
        <v>0</v>
      </c>
      <c r="O14" s="114">
        <f t="shared" si="5"/>
        <v>0</v>
      </c>
      <c r="P14" s="114">
        <f t="shared" si="5"/>
        <v>0</v>
      </c>
      <c r="Q14" s="114">
        <f t="shared" si="5"/>
        <v>0</v>
      </c>
    </row>
    <row r="15" spans="2:17" x14ac:dyDescent="0.25">
      <c r="B15" s="111">
        <v>7</v>
      </c>
      <c r="C15" s="119" t="s">
        <v>71</v>
      </c>
      <c r="D15" s="123" t="s">
        <v>969</v>
      </c>
      <c r="E15" s="116">
        <v>34482.28</v>
      </c>
      <c r="F15" s="116">
        <v>49851.67</v>
      </c>
      <c r="G15" s="116">
        <v>46433.33</v>
      </c>
      <c r="H15" s="116">
        <v>40016.660000000003</v>
      </c>
      <c r="I15" s="116">
        <v>36166.660000000003</v>
      </c>
      <c r="J15" s="116">
        <v>36166.660000000003</v>
      </c>
      <c r="K15" s="116">
        <v>36166.660000000003</v>
      </c>
      <c r="L15" s="116">
        <v>36166.660000000003</v>
      </c>
      <c r="M15" s="116">
        <v>36166.660000000003</v>
      </c>
      <c r="N15" s="116">
        <v>36166.660000000003</v>
      </c>
      <c r="O15" s="116">
        <v>36166.660000000003</v>
      </c>
      <c r="P15" s="116">
        <v>36166.660000000003</v>
      </c>
      <c r="Q15" s="116">
        <v>36166.660000000003</v>
      </c>
    </row>
    <row r="16" spans="2:17" x14ac:dyDescent="0.25">
      <c r="B16" s="111"/>
      <c r="C16" s="119"/>
      <c r="D16" s="119"/>
      <c r="E16" s="116"/>
      <c r="F16" s="114">
        <f>F15-E15</f>
        <v>15369.39</v>
      </c>
      <c r="G16" s="114">
        <f t="shared" ref="G16:Q16" si="6">G15-F15</f>
        <v>-3418.3399999999965</v>
      </c>
      <c r="H16" s="114">
        <f t="shared" si="6"/>
        <v>-6416.6699999999983</v>
      </c>
      <c r="I16" s="114">
        <f t="shared" si="6"/>
        <v>-3850</v>
      </c>
      <c r="J16" s="114">
        <f t="shared" si="6"/>
        <v>0</v>
      </c>
      <c r="K16" s="114">
        <f t="shared" si="6"/>
        <v>0</v>
      </c>
      <c r="L16" s="114">
        <f t="shared" si="6"/>
        <v>0</v>
      </c>
      <c r="M16" s="114">
        <f t="shared" si="6"/>
        <v>0</v>
      </c>
      <c r="N16" s="114">
        <f t="shared" si="6"/>
        <v>0</v>
      </c>
      <c r="O16" s="114">
        <f t="shared" si="6"/>
        <v>0</v>
      </c>
      <c r="P16" s="114">
        <f t="shared" si="6"/>
        <v>0</v>
      </c>
      <c r="Q16" s="114">
        <f t="shared" si="6"/>
        <v>0</v>
      </c>
    </row>
    <row r="17" spans="2:17" x14ac:dyDescent="0.25">
      <c r="B17" s="111">
        <v>8</v>
      </c>
      <c r="C17" s="119" t="s">
        <v>538</v>
      </c>
      <c r="D17" s="119" t="s">
        <v>970</v>
      </c>
      <c r="E17" s="116">
        <v>19600</v>
      </c>
      <c r="F17" s="116">
        <v>30000</v>
      </c>
      <c r="G17" s="116">
        <v>30000</v>
      </c>
      <c r="H17" s="116">
        <v>30000</v>
      </c>
      <c r="I17" s="116">
        <v>30000</v>
      </c>
      <c r="J17" s="116">
        <v>30000</v>
      </c>
      <c r="K17" s="116">
        <v>30000</v>
      </c>
      <c r="L17" s="116">
        <v>30000</v>
      </c>
      <c r="M17" s="116">
        <v>30000</v>
      </c>
      <c r="N17" s="116">
        <v>30000</v>
      </c>
      <c r="O17" s="116">
        <v>30000</v>
      </c>
      <c r="P17" s="116">
        <v>30000</v>
      </c>
      <c r="Q17" s="116">
        <v>30000</v>
      </c>
    </row>
    <row r="18" spans="2:17" x14ac:dyDescent="0.25">
      <c r="B18" s="111"/>
      <c r="C18" s="119"/>
      <c r="D18" s="119"/>
      <c r="E18" s="116"/>
      <c r="F18" s="114">
        <f>F17-E17</f>
        <v>10400</v>
      </c>
      <c r="G18" s="114">
        <f t="shared" ref="G18:Q18" si="7">G17-F17</f>
        <v>0</v>
      </c>
      <c r="H18" s="114">
        <f t="shared" si="7"/>
        <v>0</v>
      </c>
      <c r="I18" s="114">
        <f t="shared" si="7"/>
        <v>0</v>
      </c>
      <c r="J18" s="114">
        <f t="shared" si="7"/>
        <v>0</v>
      </c>
      <c r="K18" s="114">
        <f t="shared" si="7"/>
        <v>0</v>
      </c>
      <c r="L18" s="114">
        <f t="shared" si="7"/>
        <v>0</v>
      </c>
      <c r="M18" s="114">
        <f t="shared" si="7"/>
        <v>0</v>
      </c>
      <c r="N18" s="114">
        <f t="shared" si="7"/>
        <v>0</v>
      </c>
      <c r="O18" s="114">
        <f t="shared" si="7"/>
        <v>0</v>
      </c>
      <c r="P18" s="114">
        <f t="shared" si="7"/>
        <v>0</v>
      </c>
      <c r="Q18" s="114">
        <f t="shared" si="7"/>
        <v>0</v>
      </c>
    </row>
    <row r="19" spans="2:17" x14ac:dyDescent="0.25">
      <c r="B19" s="111">
        <v>9</v>
      </c>
      <c r="C19" s="119" t="s">
        <v>126</v>
      </c>
      <c r="D19" s="119" t="s">
        <v>971</v>
      </c>
      <c r="E19" s="116">
        <v>6752.01</v>
      </c>
      <c r="F19" s="116">
        <v>9620</v>
      </c>
      <c r="G19" s="116">
        <v>9620</v>
      </c>
      <c r="H19" s="116">
        <v>9866.67</v>
      </c>
      <c r="I19" s="116">
        <v>9866.67</v>
      </c>
      <c r="J19" s="116">
        <v>9866.67</v>
      </c>
      <c r="K19" s="116">
        <v>9866.67</v>
      </c>
      <c r="L19" s="116">
        <v>9866.67</v>
      </c>
      <c r="M19" s="116">
        <v>9866.67</v>
      </c>
      <c r="N19" s="116">
        <v>9866.67</v>
      </c>
      <c r="O19" s="116">
        <v>9866.67</v>
      </c>
      <c r="P19" s="116">
        <v>9866.67</v>
      </c>
      <c r="Q19" s="116">
        <v>9866.67</v>
      </c>
    </row>
    <row r="20" spans="2:17" x14ac:dyDescent="0.25">
      <c r="B20" s="111"/>
      <c r="C20" s="119"/>
      <c r="D20" s="119"/>
      <c r="E20" s="116"/>
      <c r="F20" s="114">
        <f>F19-E19</f>
        <v>2867.99</v>
      </c>
      <c r="G20" s="114">
        <f t="shared" ref="G20:Q20" si="8">G19-F19</f>
        <v>0</v>
      </c>
      <c r="H20" s="114">
        <f t="shared" si="8"/>
        <v>246.67000000000007</v>
      </c>
      <c r="I20" s="114">
        <f t="shared" si="8"/>
        <v>0</v>
      </c>
      <c r="J20" s="114">
        <f t="shared" si="8"/>
        <v>0</v>
      </c>
      <c r="K20" s="114">
        <f t="shared" si="8"/>
        <v>0</v>
      </c>
      <c r="L20" s="114">
        <f t="shared" si="8"/>
        <v>0</v>
      </c>
      <c r="M20" s="114">
        <f t="shared" si="8"/>
        <v>0</v>
      </c>
      <c r="N20" s="114">
        <f t="shared" si="8"/>
        <v>0</v>
      </c>
      <c r="O20" s="114">
        <f t="shared" si="8"/>
        <v>0</v>
      </c>
      <c r="P20" s="114">
        <f t="shared" si="8"/>
        <v>0</v>
      </c>
      <c r="Q20" s="114">
        <f t="shared" si="8"/>
        <v>0</v>
      </c>
    </row>
    <row r="21" spans="2:17" x14ac:dyDescent="0.25">
      <c r="B21" s="111">
        <v>10</v>
      </c>
      <c r="C21" s="119" t="s">
        <v>82</v>
      </c>
      <c r="D21" s="119" t="s">
        <v>972</v>
      </c>
      <c r="E21" s="116">
        <v>21682</v>
      </c>
      <c r="F21" s="116">
        <v>22723</v>
      </c>
      <c r="G21" s="116">
        <v>21963.25</v>
      </c>
      <c r="H21" s="116">
        <v>23960</v>
      </c>
      <c r="I21" s="116">
        <v>23960</v>
      </c>
      <c r="J21" s="116">
        <v>23960</v>
      </c>
      <c r="K21" s="116">
        <v>23960</v>
      </c>
      <c r="L21" s="116">
        <v>23960</v>
      </c>
      <c r="M21" s="116">
        <v>23960</v>
      </c>
      <c r="N21" s="116">
        <v>23960</v>
      </c>
      <c r="O21" s="116">
        <v>23960</v>
      </c>
      <c r="P21" s="116">
        <v>23960</v>
      </c>
      <c r="Q21" s="116">
        <v>23960</v>
      </c>
    </row>
    <row r="22" spans="2:17" x14ac:dyDescent="0.25">
      <c r="B22" s="111"/>
      <c r="C22" s="119"/>
      <c r="D22" s="119"/>
      <c r="E22" s="116"/>
      <c r="F22" s="114">
        <f>F21-E21</f>
        <v>1041</v>
      </c>
      <c r="G22" s="114">
        <f t="shared" ref="G22:Q22" si="9">G21-F21</f>
        <v>-759.75</v>
      </c>
      <c r="H22" s="114">
        <f t="shared" si="9"/>
        <v>1996.75</v>
      </c>
      <c r="I22" s="114">
        <f t="shared" si="9"/>
        <v>0</v>
      </c>
      <c r="J22" s="114">
        <f t="shared" si="9"/>
        <v>0</v>
      </c>
      <c r="K22" s="114">
        <f t="shared" si="9"/>
        <v>0</v>
      </c>
      <c r="L22" s="114">
        <f t="shared" si="9"/>
        <v>0</v>
      </c>
      <c r="M22" s="114">
        <f t="shared" si="9"/>
        <v>0</v>
      </c>
      <c r="N22" s="114">
        <f t="shared" si="9"/>
        <v>0</v>
      </c>
      <c r="O22" s="114">
        <f t="shared" si="9"/>
        <v>0</v>
      </c>
      <c r="P22" s="114">
        <f t="shared" si="9"/>
        <v>0</v>
      </c>
      <c r="Q22" s="114">
        <f t="shared" si="9"/>
        <v>0</v>
      </c>
    </row>
    <row r="23" spans="2:17" x14ac:dyDescent="0.25">
      <c r="B23" s="111">
        <v>11</v>
      </c>
      <c r="C23" s="119" t="s">
        <v>84</v>
      </c>
      <c r="D23" s="122" t="s">
        <v>973</v>
      </c>
      <c r="E23" s="116">
        <v>271439.2</v>
      </c>
      <c r="F23" s="116">
        <v>287611.95</v>
      </c>
      <c r="G23" s="116">
        <v>262620.22000000003</v>
      </c>
      <c r="H23" s="116">
        <v>291211.67</v>
      </c>
      <c r="I23" s="116">
        <v>294186.67999999993</v>
      </c>
      <c r="J23" s="116">
        <v>294186.68</v>
      </c>
      <c r="K23" s="116">
        <v>294186.68</v>
      </c>
      <c r="L23" s="116">
        <v>294186.67</v>
      </c>
      <c r="M23" s="116">
        <v>294186.67</v>
      </c>
      <c r="N23" s="116">
        <v>294186.67</v>
      </c>
      <c r="O23" s="116">
        <v>294186.67</v>
      </c>
      <c r="P23" s="116">
        <v>294186.67</v>
      </c>
      <c r="Q23" s="116">
        <v>294186.67</v>
      </c>
    </row>
    <row r="24" spans="2:17" x14ac:dyDescent="0.25">
      <c r="B24" s="111"/>
      <c r="C24" s="119"/>
      <c r="D24" s="119"/>
      <c r="E24" s="116"/>
      <c r="F24" s="114">
        <f>F23-E23</f>
        <v>16172.75</v>
      </c>
      <c r="G24" s="114">
        <f t="shared" ref="G24:Q24" si="10">G23-F23</f>
        <v>-24991.729999999981</v>
      </c>
      <c r="H24" s="114">
        <f t="shared" si="10"/>
        <v>28591.449999999953</v>
      </c>
      <c r="I24" s="114">
        <f t="shared" si="10"/>
        <v>2975.0099999999511</v>
      </c>
      <c r="J24" s="114">
        <f t="shared" si="10"/>
        <v>0</v>
      </c>
      <c r="K24" s="114">
        <f t="shared" si="10"/>
        <v>0</v>
      </c>
      <c r="L24" s="114">
        <f t="shared" si="10"/>
        <v>-1.0000000009313226E-2</v>
      </c>
      <c r="M24" s="114">
        <f t="shared" si="10"/>
        <v>0</v>
      </c>
      <c r="N24" s="114">
        <f t="shared" si="10"/>
        <v>0</v>
      </c>
      <c r="O24" s="114">
        <f t="shared" si="10"/>
        <v>0</v>
      </c>
      <c r="P24" s="114">
        <f t="shared" si="10"/>
        <v>0</v>
      </c>
      <c r="Q24" s="114">
        <f t="shared" si="10"/>
        <v>0</v>
      </c>
    </row>
    <row r="25" spans="2:17" x14ac:dyDescent="0.25">
      <c r="B25" s="111">
        <v>12</v>
      </c>
      <c r="C25" s="119" t="s">
        <v>187</v>
      </c>
      <c r="D25" s="120" t="s">
        <v>91</v>
      </c>
      <c r="E25" s="116">
        <v>39003.919999999998</v>
      </c>
      <c r="F25" s="116">
        <v>32130.97</v>
      </c>
      <c r="G25" s="116">
        <v>34073.18</v>
      </c>
      <c r="H25" s="116">
        <v>37154.22</v>
      </c>
      <c r="I25" s="116">
        <v>35104.97</v>
      </c>
      <c r="J25" s="116">
        <v>35104.97</v>
      </c>
      <c r="K25" s="116">
        <v>35104.97</v>
      </c>
      <c r="L25" s="116">
        <v>35104.97</v>
      </c>
      <c r="M25" s="116">
        <v>35104.97</v>
      </c>
      <c r="N25" s="116">
        <v>35104.97</v>
      </c>
      <c r="O25" s="116">
        <v>32452.989999999998</v>
      </c>
      <c r="P25" s="116">
        <v>32452.989999999998</v>
      </c>
      <c r="Q25" s="116">
        <v>32452.989999999998</v>
      </c>
    </row>
    <row r="26" spans="2:17" x14ac:dyDescent="0.25">
      <c r="B26" s="111"/>
      <c r="C26" s="119"/>
      <c r="D26" s="119"/>
      <c r="E26" s="116"/>
      <c r="F26" s="114">
        <f>F25-E25</f>
        <v>-6872.9499999999971</v>
      </c>
      <c r="G26" s="114">
        <f t="shared" ref="G26:Q26" si="11">G25-F25</f>
        <v>1942.2099999999991</v>
      </c>
      <c r="H26" s="114">
        <f t="shared" si="11"/>
        <v>3081.0400000000009</v>
      </c>
      <c r="I26" s="114">
        <f t="shared" si="11"/>
        <v>-2049.25</v>
      </c>
      <c r="J26" s="114">
        <f t="shared" si="11"/>
        <v>0</v>
      </c>
      <c r="K26" s="114">
        <f t="shared" si="11"/>
        <v>0</v>
      </c>
      <c r="L26" s="114">
        <f t="shared" si="11"/>
        <v>0</v>
      </c>
      <c r="M26" s="114">
        <f t="shared" si="11"/>
        <v>0</v>
      </c>
      <c r="N26" s="114">
        <f t="shared" si="11"/>
        <v>0</v>
      </c>
      <c r="O26" s="114">
        <f t="shared" si="11"/>
        <v>-2651.9800000000032</v>
      </c>
      <c r="P26" s="114">
        <f t="shared" si="11"/>
        <v>0</v>
      </c>
      <c r="Q26" s="114">
        <f t="shared" si="11"/>
        <v>0</v>
      </c>
    </row>
    <row r="27" spans="2:17" x14ac:dyDescent="0.25">
      <c r="B27" s="111">
        <v>13</v>
      </c>
      <c r="C27" s="119" t="s">
        <v>898</v>
      </c>
      <c r="D27" s="119" t="s">
        <v>974</v>
      </c>
      <c r="E27" s="116">
        <v>65934.22</v>
      </c>
      <c r="F27" s="116">
        <v>98841.180000000008</v>
      </c>
      <c r="G27" s="116">
        <v>102902.31</v>
      </c>
      <c r="H27" s="116">
        <v>106136.6</v>
      </c>
      <c r="I27" s="116">
        <v>106136.6</v>
      </c>
      <c r="J27" s="116">
        <v>106136.6</v>
      </c>
      <c r="K27" s="116">
        <v>106136.6</v>
      </c>
      <c r="L27" s="116">
        <v>106136.6</v>
      </c>
      <c r="M27" s="116">
        <v>106136.6</v>
      </c>
      <c r="N27" s="116">
        <v>106136.6</v>
      </c>
      <c r="O27" s="116">
        <v>106136.6</v>
      </c>
      <c r="P27" s="116">
        <v>106136.6</v>
      </c>
      <c r="Q27" s="116">
        <v>106136.6</v>
      </c>
    </row>
    <row r="28" spans="2:17" x14ac:dyDescent="0.25">
      <c r="B28" s="111"/>
      <c r="C28" s="119"/>
      <c r="D28" s="119"/>
      <c r="E28" s="116"/>
      <c r="F28" s="114">
        <f>F27-E27</f>
        <v>32906.960000000006</v>
      </c>
      <c r="G28" s="114">
        <f t="shared" ref="G28:Q28" si="12">G27-F27</f>
        <v>4061.1299999999901</v>
      </c>
      <c r="H28" s="114">
        <f t="shared" si="12"/>
        <v>3234.2900000000081</v>
      </c>
      <c r="I28" s="114">
        <f t="shared" si="12"/>
        <v>0</v>
      </c>
      <c r="J28" s="114">
        <f t="shared" si="12"/>
        <v>0</v>
      </c>
      <c r="K28" s="114">
        <f t="shared" si="12"/>
        <v>0</v>
      </c>
      <c r="L28" s="114">
        <f t="shared" si="12"/>
        <v>0</v>
      </c>
      <c r="M28" s="114">
        <f t="shared" si="12"/>
        <v>0</v>
      </c>
      <c r="N28" s="114">
        <f t="shared" si="12"/>
        <v>0</v>
      </c>
      <c r="O28" s="114">
        <f t="shared" si="12"/>
        <v>0</v>
      </c>
      <c r="P28" s="114">
        <f t="shared" si="12"/>
        <v>0</v>
      </c>
      <c r="Q28" s="114">
        <f t="shared" si="12"/>
        <v>0</v>
      </c>
    </row>
    <row r="29" spans="2:17" x14ac:dyDescent="0.25">
      <c r="B29" s="111">
        <v>14</v>
      </c>
      <c r="C29" s="119" t="s">
        <v>170</v>
      </c>
      <c r="D29" s="120" t="s">
        <v>975</v>
      </c>
      <c r="E29" s="116">
        <v>212207</v>
      </c>
      <c r="F29" s="116">
        <v>233513.33</v>
      </c>
      <c r="G29" s="116">
        <v>270226.67</v>
      </c>
      <c r="H29" s="116">
        <v>289413.33</v>
      </c>
      <c r="I29" s="116">
        <v>286000</v>
      </c>
      <c r="J29" s="116">
        <v>259493.33</v>
      </c>
      <c r="K29" s="116">
        <v>248133.33</v>
      </c>
      <c r="L29" s="116">
        <v>248133.33</v>
      </c>
      <c r="M29" s="116">
        <v>248133.33</v>
      </c>
      <c r="N29" s="116">
        <v>248133.33</v>
      </c>
      <c r="O29" s="116">
        <v>248133.33</v>
      </c>
      <c r="P29" s="116">
        <v>248133.33</v>
      </c>
      <c r="Q29" s="116">
        <v>248133.33</v>
      </c>
    </row>
    <row r="30" spans="2:17" x14ac:dyDescent="0.25">
      <c r="B30" s="111"/>
      <c r="C30" s="119"/>
      <c r="D30" s="119"/>
      <c r="E30" s="116"/>
      <c r="F30" s="114">
        <f>F29-E29</f>
        <v>21306.329999999987</v>
      </c>
      <c r="G30" s="114">
        <f t="shared" ref="G30:Q30" si="13">G29-F29</f>
        <v>36713.339999999997</v>
      </c>
      <c r="H30" s="114">
        <f t="shared" si="13"/>
        <v>19186.660000000033</v>
      </c>
      <c r="I30" s="114">
        <f t="shared" si="13"/>
        <v>-3413.3300000000163</v>
      </c>
      <c r="J30" s="114">
        <f t="shared" si="13"/>
        <v>-26506.670000000013</v>
      </c>
      <c r="K30" s="114">
        <f t="shared" si="13"/>
        <v>-11360</v>
      </c>
      <c r="L30" s="114">
        <f t="shared" si="13"/>
        <v>0</v>
      </c>
      <c r="M30" s="114">
        <f t="shared" si="13"/>
        <v>0</v>
      </c>
      <c r="N30" s="114">
        <f t="shared" si="13"/>
        <v>0</v>
      </c>
      <c r="O30" s="114">
        <f t="shared" si="13"/>
        <v>0</v>
      </c>
      <c r="P30" s="114">
        <f t="shared" si="13"/>
        <v>0</v>
      </c>
      <c r="Q30" s="114">
        <f t="shared" si="13"/>
        <v>0</v>
      </c>
    </row>
    <row r="31" spans="2:17" x14ac:dyDescent="0.25">
      <c r="B31" s="111">
        <v>15</v>
      </c>
      <c r="C31" s="119" t="s">
        <v>146</v>
      </c>
      <c r="D31" s="119" t="s">
        <v>976</v>
      </c>
      <c r="E31" s="116">
        <v>46793.120000000003</v>
      </c>
      <c r="F31" s="116">
        <v>51354.36</v>
      </c>
      <c r="G31" s="116">
        <v>51245.08</v>
      </c>
      <c r="H31" s="116">
        <v>52622.400000000001</v>
      </c>
      <c r="I31" s="116">
        <v>52622.400000000001</v>
      </c>
      <c r="J31" s="116">
        <v>52622.400000000001</v>
      </c>
      <c r="K31" s="116">
        <v>52622.400000000001</v>
      </c>
      <c r="L31" s="116">
        <v>52622.400000000001</v>
      </c>
      <c r="M31" s="116">
        <v>52622.400000000001</v>
      </c>
      <c r="N31" s="116">
        <v>52622.400000000001</v>
      </c>
      <c r="O31" s="116">
        <v>52622.400000000001</v>
      </c>
      <c r="P31" s="116">
        <v>52622.400000000001</v>
      </c>
      <c r="Q31" s="116">
        <v>52622.400000000001</v>
      </c>
    </row>
    <row r="32" spans="2:17" x14ac:dyDescent="0.25">
      <c r="B32" s="111"/>
      <c r="C32" s="119"/>
      <c r="D32" s="119"/>
      <c r="E32" s="116"/>
      <c r="F32" s="114">
        <f>F31-E31</f>
        <v>4561.239999999998</v>
      </c>
      <c r="G32" s="114">
        <f t="shared" ref="G32:Q32" si="14">G31-F31</f>
        <v>-109.27999999999884</v>
      </c>
      <c r="H32" s="114">
        <f t="shared" si="14"/>
        <v>1377.3199999999997</v>
      </c>
      <c r="I32" s="114">
        <f t="shared" si="14"/>
        <v>0</v>
      </c>
      <c r="J32" s="114">
        <f t="shared" si="14"/>
        <v>0</v>
      </c>
      <c r="K32" s="114">
        <f t="shared" si="14"/>
        <v>0</v>
      </c>
      <c r="L32" s="114">
        <f t="shared" si="14"/>
        <v>0</v>
      </c>
      <c r="M32" s="114">
        <f t="shared" si="14"/>
        <v>0</v>
      </c>
      <c r="N32" s="114">
        <f t="shared" si="14"/>
        <v>0</v>
      </c>
      <c r="O32" s="114">
        <f t="shared" si="14"/>
        <v>0</v>
      </c>
      <c r="P32" s="114">
        <f t="shared" si="14"/>
        <v>0</v>
      </c>
      <c r="Q32" s="114">
        <f t="shared" si="14"/>
        <v>0</v>
      </c>
    </row>
    <row r="33" spans="2:17" x14ac:dyDescent="0.25">
      <c r="B33" s="111">
        <v>16</v>
      </c>
      <c r="C33" s="119" t="s">
        <v>934</v>
      </c>
      <c r="D33" s="119" t="s">
        <v>977</v>
      </c>
      <c r="E33" s="116">
        <v>3663.67</v>
      </c>
      <c r="F33" s="116">
        <v>4480</v>
      </c>
      <c r="G33" s="116">
        <v>4553.92</v>
      </c>
      <c r="H33" s="116">
        <v>4793.6000000000004</v>
      </c>
      <c r="I33" s="116">
        <v>4793.6000000000004</v>
      </c>
      <c r="J33" s="116">
        <v>4793.6000000000004</v>
      </c>
      <c r="K33" s="116">
        <v>4793.6000000000004</v>
      </c>
      <c r="L33" s="116">
        <v>4793.6000000000004</v>
      </c>
      <c r="M33" s="116">
        <v>4793.6000000000004</v>
      </c>
      <c r="N33" s="116">
        <v>4793.6000000000004</v>
      </c>
      <c r="O33" s="116">
        <v>4793.6000000000004</v>
      </c>
      <c r="P33" s="116">
        <v>4793.6000000000004</v>
      </c>
      <c r="Q33" s="116">
        <v>4793.6000000000004</v>
      </c>
    </row>
    <row r="34" spans="2:17" x14ac:dyDescent="0.25">
      <c r="B34" s="111"/>
      <c r="C34" s="119"/>
      <c r="D34" s="119"/>
      <c r="E34" s="116"/>
      <c r="F34" s="114">
        <f>F33-E33</f>
        <v>816.32999999999993</v>
      </c>
      <c r="G34" s="114">
        <f t="shared" ref="G34:Q34" si="15">G33-F33</f>
        <v>73.920000000000073</v>
      </c>
      <c r="H34" s="114">
        <f t="shared" si="15"/>
        <v>239.68000000000029</v>
      </c>
      <c r="I34" s="114">
        <f t="shared" si="15"/>
        <v>0</v>
      </c>
      <c r="J34" s="114">
        <f t="shared" si="15"/>
        <v>0</v>
      </c>
      <c r="K34" s="114">
        <f t="shared" si="15"/>
        <v>0</v>
      </c>
      <c r="L34" s="114">
        <f t="shared" si="15"/>
        <v>0</v>
      </c>
      <c r="M34" s="114">
        <f t="shared" si="15"/>
        <v>0</v>
      </c>
      <c r="N34" s="114">
        <f t="shared" si="15"/>
        <v>0</v>
      </c>
      <c r="O34" s="114">
        <f t="shared" si="15"/>
        <v>0</v>
      </c>
      <c r="P34" s="114">
        <f t="shared" si="15"/>
        <v>0</v>
      </c>
      <c r="Q34" s="114">
        <f t="shared" si="15"/>
        <v>0</v>
      </c>
    </row>
    <row r="35" spans="2:17" x14ac:dyDescent="0.25">
      <c r="B35" s="111">
        <v>17</v>
      </c>
      <c r="C35" s="119" t="s">
        <v>438</v>
      </c>
      <c r="D35" s="119" t="s">
        <v>978</v>
      </c>
      <c r="E35" s="116">
        <v>9315.31</v>
      </c>
      <c r="F35" s="116">
        <v>10710</v>
      </c>
      <c r="G35" s="116">
        <v>11900</v>
      </c>
      <c r="H35" s="116">
        <v>11900</v>
      </c>
      <c r="I35" s="116">
        <v>11900</v>
      </c>
      <c r="J35" s="116">
        <v>11900</v>
      </c>
      <c r="K35" s="116">
        <v>11900</v>
      </c>
      <c r="L35" s="116">
        <v>11900</v>
      </c>
      <c r="M35" s="116">
        <v>11900</v>
      </c>
      <c r="N35" s="116">
        <v>11900</v>
      </c>
      <c r="O35" s="116">
        <v>11900</v>
      </c>
      <c r="P35" s="116">
        <v>11900</v>
      </c>
      <c r="Q35" s="116">
        <v>11900</v>
      </c>
    </row>
    <row r="36" spans="2:17" x14ac:dyDescent="0.25">
      <c r="B36" s="111"/>
      <c r="C36" s="119"/>
      <c r="D36" s="119"/>
      <c r="E36" s="116"/>
      <c r="F36" s="114">
        <f>F35-E35</f>
        <v>1394.6900000000005</v>
      </c>
      <c r="G36" s="114">
        <f t="shared" ref="G36:Q36" si="16">G35-F35</f>
        <v>1190</v>
      </c>
      <c r="H36" s="114">
        <f t="shared" si="16"/>
        <v>0</v>
      </c>
      <c r="I36" s="114">
        <f t="shared" si="16"/>
        <v>0</v>
      </c>
      <c r="J36" s="114">
        <f t="shared" si="16"/>
        <v>0</v>
      </c>
      <c r="K36" s="114">
        <f t="shared" si="16"/>
        <v>0</v>
      </c>
      <c r="L36" s="114">
        <f t="shared" si="16"/>
        <v>0</v>
      </c>
      <c r="M36" s="114">
        <f t="shared" si="16"/>
        <v>0</v>
      </c>
      <c r="N36" s="114">
        <f t="shared" si="16"/>
        <v>0</v>
      </c>
      <c r="O36" s="114">
        <f t="shared" si="16"/>
        <v>0</v>
      </c>
      <c r="P36" s="114">
        <f t="shared" si="16"/>
        <v>0</v>
      </c>
      <c r="Q36" s="114">
        <f t="shared" si="16"/>
        <v>0</v>
      </c>
    </row>
    <row r="37" spans="2:17" x14ac:dyDescent="0.25">
      <c r="B37" s="111">
        <v>18</v>
      </c>
      <c r="C37" s="119" t="s">
        <v>128</v>
      </c>
      <c r="D37" s="119" t="s">
        <v>979</v>
      </c>
      <c r="E37" s="116">
        <v>14450</v>
      </c>
      <c r="F37" s="116">
        <v>16830</v>
      </c>
      <c r="G37" s="116">
        <v>16390</v>
      </c>
      <c r="H37" s="116">
        <v>19140</v>
      </c>
      <c r="I37" s="116">
        <v>22000</v>
      </c>
      <c r="J37" s="116">
        <v>22000</v>
      </c>
      <c r="K37" s="116">
        <v>22000</v>
      </c>
      <c r="L37" s="116">
        <v>22000</v>
      </c>
      <c r="M37" s="116">
        <v>22000</v>
      </c>
      <c r="N37" s="116">
        <v>22000</v>
      </c>
      <c r="O37" s="116">
        <v>22000</v>
      </c>
      <c r="P37" s="116">
        <v>22000</v>
      </c>
      <c r="Q37" s="116">
        <v>22000</v>
      </c>
    </row>
    <row r="38" spans="2:17" x14ac:dyDescent="0.25">
      <c r="B38" s="111"/>
      <c r="C38" s="119"/>
      <c r="D38" s="119"/>
      <c r="E38" s="116"/>
      <c r="F38" s="114">
        <f>F37-E37</f>
        <v>2380</v>
      </c>
      <c r="G38" s="114">
        <f t="shared" ref="G38:Q38" si="17">G37-F37</f>
        <v>-440</v>
      </c>
      <c r="H38" s="114">
        <f t="shared" si="17"/>
        <v>2750</v>
      </c>
      <c r="I38" s="114">
        <f t="shared" si="17"/>
        <v>2860</v>
      </c>
      <c r="J38" s="114">
        <f t="shared" si="17"/>
        <v>0</v>
      </c>
      <c r="K38" s="114">
        <f t="shared" si="17"/>
        <v>0</v>
      </c>
      <c r="L38" s="114">
        <f t="shared" si="17"/>
        <v>0</v>
      </c>
      <c r="M38" s="114">
        <f t="shared" si="17"/>
        <v>0</v>
      </c>
      <c r="N38" s="114">
        <f t="shared" si="17"/>
        <v>0</v>
      </c>
      <c r="O38" s="114">
        <f t="shared" si="17"/>
        <v>0</v>
      </c>
      <c r="P38" s="114">
        <f t="shared" si="17"/>
        <v>0</v>
      </c>
      <c r="Q38" s="114">
        <f t="shared" si="17"/>
        <v>0</v>
      </c>
    </row>
    <row r="39" spans="2:17" x14ac:dyDescent="0.25">
      <c r="B39" s="111">
        <v>19</v>
      </c>
      <c r="C39" s="119" t="s">
        <v>114</v>
      </c>
      <c r="D39" s="119" t="s">
        <v>980</v>
      </c>
      <c r="E39" s="116">
        <v>10182.86</v>
      </c>
      <c r="F39" s="116">
        <v>15120</v>
      </c>
      <c r="G39" s="116">
        <v>15120</v>
      </c>
      <c r="H39" s="116">
        <v>15120</v>
      </c>
      <c r="I39" s="116">
        <v>15120</v>
      </c>
      <c r="J39" s="116">
        <v>15120</v>
      </c>
      <c r="K39" s="116">
        <v>15120</v>
      </c>
      <c r="L39" s="116">
        <v>15120</v>
      </c>
      <c r="M39" s="116">
        <v>15120</v>
      </c>
      <c r="N39" s="116">
        <v>15120</v>
      </c>
      <c r="O39" s="116">
        <v>15120</v>
      </c>
      <c r="P39" s="116">
        <v>15120</v>
      </c>
      <c r="Q39" s="116">
        <v>15120</v>
      </c>
    </row>
    <row r="40" spans="2:17" x14ac:dyDescent="0.25">
      <c r="B40" s="66"/>
      <c r="C40" s="66"/>
      <c r="D40" s="66"/>
      <c r="E40" s="116"/>
      <c r="F40" s="114">
        <f>F39-E39</f>
        <v>4937.1399999999994</v>
      </c>
      <c r="G40" s="114">
        <f t="shared" ref="G40:Q40" si="18">G39-F39</f>
        <v>0</v>
      </c>
      <c r="H40" s="114">
        <f t="shared" si="18"/>
        <v>0</v>
      </c>
      <c r="I40" s="114">
        <f t="shared" si="18"/>
        <v>0</v>
      </c>
      <c r="J40" s="114">
        <f t="shared" si="18"/>
        <v>0</v>
      </c>
      <c r="K40" s="114">
        <f t="shared" si="18"/>
        <v>0</v>
      </c>
      <c r="L40" s="114">
        <f t="shared" si="18"/>
        <v>0</v>
      </c>
      <c r="M40" s="114">
        <f t="shared" si="18"/>
        <v>0</v>
      </c>
      <c r="N40" s="114">
        <f t="shared" si="18"/>
        <v>0</v>
      </c>
      <c r="O40" s="114">
        <f t="shared" si="18"/>
        <v>0</v>
      </c>
      <c r="P40" s="114">
        <f t="shared" si="18"/>
        <v>0</v>
      </c>
      <c r="Q40" s="114">
        <f t="shared" si="18"/>
        <v>0</v>
      </c>
    </row>
  </sheetData>
  <conditionalFormatting sqref="F4:Q4 F6:Q6 F8:Q8 F10:Q10 F12:Q12 F14:Q14 F16:Q16 F18:Q18 F20:Q20 F22:Q22 F24:Q24 F26:Q26 F28:Q28 F30:Q30 F32:Q32 F34:Q34 F36:Q36 F38:Q38 F40:Q40">
    <cfRule type="cellIs" dxfId="196" priority="119" operator="lessThan">
      <formula>0</formula>
    </cfRule>
  </conditionalFormatting>
  <conditionalFormatting sqref="F4:Q4 F6:Q6 F8:Q8 F10:Q10 F12:Q12 F14:Q14 F16:Q16 F18:Q18 F20:Q20 F22:Q22 F24:Q24 F26:Q26 F28:Q28 F30:Q30 F32:Q32 F34:Q34 F36:Q36 F38:Q38 F40:Q40">
    <cfRule type="cellIs" dxfId="195" priority="118" operator="greaterThan">
      <formula>0</formula>
    </cfRule>
  </conditionalFormatting>
  <conditionalFormatting sqref="F4:Q4 F6:Q6 F8:Q8 F10:Q10 F12:Q12 F14:Q14 F16:Q16 F18:Q18 F20:Q20 F22:Q22 F24:Q24 F26:Q26 F28:Q28 F30:Q30 F32:Q32 F34:Q34 F36:Q36 F38:Q38 F40:Q40">
    <cfRule type="cellIs" dxfId="194" priority="117" operator="between">
      <formula>0</formula>
      <formula>-500000</formula>
    </cfRule>
  </conditionalFormatting>
  <conditionalFormatting sqref="F4:Q4 F6:Q6 F8:Q8 F10:Q10 F12:Q12 F14:Q14 F16:Q16 F18:Q18 F20:Q20 F22:Q22 F24:Q24 F26:Q26 F28:Q28 F30:Q30 F32:Q32 F34:Q34 F36:Q36 F38:Q38 F40:Q40">
    <cfRule type="cellIs" dxfId="193" priority="116" operator="greaterThan">
      <formula>0</formula>
    </cfRule>
  </conditionalFormatting>
  <conditionalFormatting sqref="F4:Q4">
    <cfRule type="cellIs" dxfId="192" priority="113" operator="lessThan">
      <formula>-5000</formula>
    </cfRule>
    <cfRule type="cellIs" dxfId="191" priority="114" operator="between">
      <formula>-4000</formula>
      <formula>0</formula>
    </cfRule>
    <cfRule type="cellIs" dxfId="190" priority="115" operator="greaterThan">
      <formula>0</formula>
    </cfRule>
  </conditionalFormatting>
  <conditionalFormatting sqref="G8:Q8">
    <cfRule type="cellIs" dxfId="189" priority="58" operator="between">
      <formula>-4000</formula>
      <formula>0</formula>
    </cfRule>
    <cfRule type="cellIs" dxfId="188" priority="110" operator="lessThan">
      <formula>-5000</formula>
    </cfRule>
    <cfRule type="cellIs" dxfId="187" priority="111" operator="between">
      <formula>-4000</formula>
      <formula>0</formula>
    </cfRule>
    <cfRule type="cellIs" dxfId="186" priority="112" operator="greaterThan">
      <formula>0</formula>
    </cfRule>
  </conditionalFormatting>
  <conditionalFormatting sqref="G6:Q6">
    <cfRule type="cellIs" dxfId="185" priority="107" operator="lessThan">
      <formula>-5000</formula>
    </cfRule>
    <cfRule type="cellIs" dxfId="184" priority="108" operator="between">
      <formula>-4000</formula>
      <formula>0</formula>
    </cfRule>
    <cfRule type="cellIs" dxfId="183" priority="109" operator="greaterThan">
      <formula>0</formula>
    </cfRule>
  </conditionalFormatting>
  <conditionalFormatting sqref="G10:Q10">
    <cfRule type="cellIs" dxfId="182" priority="104" operator="lessThan">
      <formula>-5000</formula>
    </cfRule>
    <cfRule type="cellIs" dxfId="181" priority="105" operator="between">
      <formula>-4000</formula>
      <formula>0</formula>
    </cfRule>
    <cfRule type="cellIs" dxfId="180" priority="106" operator="greaterThan">
      <formula>0</formula>
    </cfRule>
  </conditionalFormatting>
  <conditionalFormatting sqref="G12:Q12">
    <cfRule type="cellIs" dxfId="179" priority="101" operator="lessThan">
      <formula>-5000</formula>
    </cfRule>
    <cfRule type="cellIs" dxfId="178" priority="102" operator="between">
      <formula>-4000</formula>
      <formula>0</formula>
    </cfRule>
    <cfRule type="cellIs" dxfId="177" priority="103" operator="greaterThan">
      <formula>0</formula>
    </cfRule>
  </conditionalFormatting>
  <conditionalFormatting sqref="G14:Q14">
    <cfRule type="cellIs" dxfId="176" priority="98" operator="lessThan">
      <formula>-5000</formula>
    </cfRule>
    <cfRule type="cellIs" dxfId="175" priority="99" operator="between">
      <formula>-4000</formula>
      <formula>0</formula>
    </cfRule>
    <cfRule type="cellIs" dxfId="174" priority="100" operator="greaterThan">
      <formula>0</formula>
    </cfRule>
  </conditionalFormatting>
  <conditionalFormatting sqref="G16:Q16">
    <cfRule type="cellIs" dxfId="173" priority="95" operator="lessThan">
      <formula>-5000</formula>
    </cfRule>
    <cfRule type="cellIs" dxfId="172" priority="96" operator="between">
      <formula>-4000</formula>
      <formula>0</formula>
    </cfRule>
    <cfRule type="cellIs" dxfId="171" priority="97" operator="greaterThan">
      <formula>0</formula>
    </cfRule>
  </conditionalFormatting>
  <conditionalFormatting sqref="G18:Q18">
    <cfRule type="cellIs" dxfId="170" priority="92" operator="lessThan">
      <formula>-5000</formula>
    </cfRule>
    <cfRule type="cellIs" dxfId="169" priority="93" operator="between">
      <formula>-4000</formula>
      <formula>0</formula>
    </cfRule>
    <cfRule type="cellIs" dxfId="168" priority="94" operator="greaterThan">
      <formula>0</formula>
    </cfRule>
  </conditionalFormatting>
  <conditionalFormatting sqref="G20:Q20">
    <cfRule type="cellIs" dxfId="167" priority="89" operator="lessThan">
      <formula>-5000</formula>
    </cfRule>
    <cfRule type="cellIs" dxfId="166" priority="90" operator="between">
      <formula>-4000</formula>
      <formula>0</formula>
    </cfRule>
    <cfRule type="cellIs" dxfId="165" priority="91" operator="greaterThan">
      <formula>0</formula>
    </cfRule>
  </conditionalFormatting>
  <conditionalFormatting sqref="G22:Q22">
    <cfRule type="cellIs" dxfId="164" priority="86" operator="lessThan">
      <formula>-5000</formula>
    </cfRule>
    <cfRule type="cellIs" dxfId="163" priority="87" operator="between">
      <formula>-4000</formula>
      <formula>0</formula>
    </cfRule>
    <cfRule type="cellIs" dxfId="162" priority="88" operator="greaterThan">
      <formula>0</formula>
    </cfRule>
  </conditionalFormatting>
  <conditionalFormatting sqref="G24:Q24">
    <cfRule type="cellIs" dxfId="161" priority="83" operator="lessThan">
      <formula>-5000</formula>
    </cfRule>
    <cfRule type="cellIs" dxfId="160" priority="84" operator="between">
      <formula>-4000</formula>
      <formula>0</formula>
    </cfRule>
    <cfRule type="cellIs" dxfId="159" priority="85" operator="greaterThan">
      <formula>0</formula>
    </cfRule>
  </conditionalFormatting>
  <conditionalFormatting sqref="G26:Q26">
    <cfRule type="cellIs" dxfId="158" priority="80" operator="lessThan">
      <formula>-5000</formula>
    </cfRule>
    <cfRule type="cellIs" dxfId="157" priority="81" operator="between">
      <formula>-4000</formula>
      <formula>0</formula>
    </cfRule>
    <cfRule type="cellIs" dxfId="156" priority="82" operator="greaterThan">
      <formula>0</formula>
    </cfRule>
  </conditionalFormatting>
  <conditionalFormatting sqref="G28:Q28">
    <cfRule type="cellIs" dxfId="155" priority="77" operator="lessThan">
      <formula>-5000</formula>
    </cfRule>
    <cfRule type="cellIs" dxfId="154" priority="78" operator="between">
      <formula>-4000</formula>
      <formula>0</formula>
    </cfRule>
    <cfRule type="cellIs" dxfId="153" priority="79" operator="greaterThan">
      <formula>0</formula>
    </cfRule>
  </conditionalFormatting>
  <conditionalFormatting sqref="G30:Q30">
    <cfRule type="cellIs" dxfId="152" priority="74" operator="lessThan">
      <formula>-5000</formula>
    </cfRule>
    <cfRule type="cellIs" dxfId="151" priority="75" operator="between">
      <formula>-4000</formula>
      <formula>0</formula>
    </cfRule>
    <cfRule type="cellIs" dxfId="150" priority="76" operator="greaterThan">
      <formula>0</formula>
    </cfRule>
  </conditionalFormatting>
  <conditionalFormatting sqref="G32:Q32">
    <cfRule type="cellIs" dxfId="149" priority="71" operator="lessThan">
      <formula>-5000</formula>
    </cfRule>
    <cfRule type="cellIs" dxfId="148" priority="72" operator="between">
      <formula>-4000</formula>
      <formula>0</formula>
    </cfRule>
    <cfRule type="cellIs" dxfId="147" priority="73" operator="greaterThan">
      <formula>0</formula>
    </cfRule>
  </conditionalFormatting>
  <conditionalFormatting sqref="G34:Q34">
    <cfRule type="cellIs" dxfId="146" priority="68" operator="lessThan">
      <formula>-5000</formula>
    </cfRule>
    <cfRule type="cellIs" dxfId="145" priority="69" operator="between">
      <formula>-4000</formula>
      <formula>0</formula>
    </cfRule>
    <cfRule type="cellIs" dxfId="144" priority="70" operator="greaterThan">
      <formula>0</formula>
    </cfRule>
  </conditionalFormatting>
  <conditionalFormatting sqref="G36:Q36">
    <cfRule type="cellIs" dxfId="143" priority="65" operator="lessThan">
      <formula>-5000</formula>
    </cfRule>
    <cfRule type="cellIs" dxfId="142" priority="66" operator="between">
      <formula>-4000</formula>
      <formula>0</formula>
    </cfRule>
    <cfRule type="cellIs" dxfId="141" priority="67" operator="greaterThan">
      <formula>0</formula>
    </cfRule>
  </conditionalFormatting>
  <conditionalFormatting sqref="G38:Q38">
    <cfRule type="cellIs" dxfId="140" priority="62" operator="lessThan">
      <formula>-5000</formula>
    </cfRule>
    <cfRule type="cellIs" dxfId="139" priority="63" operator="between">
      <formula>-4000</formula>
      <formula>0</formula>
    </cfRule>
    <cfRule type="cellIs" dxfId="138" priority="64" operator="greaterThan">
      <formula>0</formula>
    </cfRule>
  </conditionalFormatting>
  <conditionalFormatting sqref="G40:Q40">
    <cfRule type="cellIs" dxfId="137" priority="59" operator="lessThan">
      <formula>-5000</formula>
    </cfRule>
    <cfRule type="cellIs" dxfId="136" priority="60" operator="between">
      <formula>-4000</formula>
      <formula>0</formula>
    </cfRule>
    <cfRule type="cellIs" dxfId="135" priority="61" operator="greaterThan">
      <formula>0</formula>
    </cfRule>
  </conditionalFormatting>
  <conditionalFormatting sqref="F4:Q4 F6:Q6 F8:Q8 F10:Q10 F12:Q12 F14:Q14 F16:Q16 F18:Q18 F20:Q20 F22:Q22 F24:Q24 F26:Q26 F28:Q28 F30:Q30 F32:Q32 F34:Q34 F36:Q36 F38:Q38 F40:Q40">
    <cfRule type="cellIs" dxfId="134" priority="55" operator="lessThan">
      <formula>-4000</formula>
    </cfRule>
    <cfRule type="cellIs" dxfId="133" priority="56" operator="between">
      <formula>-3999</formula>
      <formula>0</formula>
    </cfRule>
    <cfRule type="cellIs" dxfId="132" priority="57" operator="greaterThan">
      <formula>0</formula>
    </cfRule>
  </conditionalFormatting>
  <conditionalFormatting sqref="F6">
    <cfRule type="cellIs" dxfId="131" priority="52" operator="lessThan">
      <formula>-5000</formula>
    </cfRule>
    <cfRule type="cellIs" dxfId="130" priority="53" operator="between">
      <formula>-4000</formula>
      <formula>0</formula>
    </cfRule>
    <cfRule type="cellIs" dxfId="129" priority="54" operator="greaterThan">
      <formula>0</formula>
    </cfRule>
  </conditionalFormatting>
  <conditionalFormatting sqref="F8">
    <cfRule type="cellIs" dxfId="128" priority="49" operator="lessThan">
      <formula>-5000</formula>
    </cfRule>
    <cfRule type="cellIs" dxfId="127" priority="50" operator="between">
      <formula>-4000</formula>
      <formula>0</formula>
    </cfRule>
    <cfRule type="cellIs" dxfId="126" priority="51" operator="greaterThan">
      <formula>0</formula>
    </cfRule>
  </conditionalFormatting>
  <conditionalFormatting sqref="F10">
    <cfRule type="cellIs" dxfId="125" priority="46" operator="lessThan">
      <formula>-5000</formula>
    </cfRule>
    <cfRule type="cellIs" dxfId="124" priority="47" operator="between">
      <formula>-4000</formula>
      <formula>0</formula>
    </cfRule>
    <cfRule type="cellIs" dxfId="123" priority="48" operator="greaterThan">
      <formula>0</formula>
    </cfRule>
  </conditionalFormatting>
  <conditionalFormatting sqref="F12">
    <cfRule type="cellIs" dxfId="122" priority="43" operator="lessThan">
      <formula>-5000</formula>
    </cfRule>
    <cfRule type="cellIs" dxfId="121" priority="44" operator="between">
      <formula>-4000</formula>
      <formula>0</formula>
    </cfRule>
    <cfRule type="cellIs" dxfId="120" priority="45" operator="greaterThan">
      <formula>0</formula>
    </cfRule>
  </conditionalFormatting>
  <conditionalFormatting sqref="F14">
    <cfRule type="cellIs" dxfId="119" priority="40" operator="lessThan">
      <formula>-5000</formula>
    </cfRule>
    <cfRule type="cellIs" dxfId="118" priority="41" operator="between">
      <formula>-4000</formula>
      <formula>0</formula>
    </cfRule>
    <cfRule type="cellIs" dxfId="117" priority="42" operator="greaterThan">
      <formula>0</formula>
    </cfRule>
  </conditionalFormatting>
  <conditionalFormatting sqref="F16">
    <cfRule type="cellIs" dxfId="116" priority="37" operator="lessThan">
      <formula>-5000</formula>
    </cfRule>
    <cfRule type="cellIs" dxfId="115" priority="38" operator="between">
      <formula>-4000</formula>
      <formula>0</formula>
    </cfRule>
    <cfRule type="cellIs" dxfId="114" priority="39" operator="greaterThan">
      <formula>0</formula>
    </cfRule>
  </conditionalFormatting>
  <conditionalFormatting sqref="F18">
    <cfRule type="cellIs" dxfId="113" priority="34" operator="lessThan">
      <formula>-5000</formula>
    </cfRule>
    <cfRule type="cellIs" dxfId="112" priority="35" operator="between">
      <formula>-4000</formula>
      <formula>0</formula>
    </cfRule>
    <cfRule type="cellIs" dxfId="111" priority="36" operator="greaterThan">
      <formula>0</formula>
    </cfRule>
  </conditionalFormatting>
  <conditionalFormatting sqref="F20">
    <cfRule type="cellIs" dxfId="110" priority="31" operator="lessThan">
      <formula>-5000</formula>
    </cfRule>
    <cfRule type="cellIs" dxfId="109" priority="32" operator="between">
      <formula>-4000</formula>
      <formula>0</formula>
    </cfRule>
    <cfRule type="cellIs" dxfId="108" priority="33" operator="greaterThan">
      <formula>0</formula>
    </cfRule>
  </conditionalFormatting>
  <conditionalFormatting sqref="F22">
    <cfRule type="cellIs" dxfId="107" priority="28" operator="lessThan">
      <formula>-5000</formula>
    </cfRule>
    <cfRule type="cellIs" dxfId="106" priority="29" operator="between">
      <formula>-4000</formula>
      <formula>0</formula>
    </cfRule>
    <cfRule type="cellIs" dxfId="105" priority="30" operator="greaterThan">
      <formula>0</formula>
    </cfRule>
  </conditionalFormatting>
  <conditionalFormatting sqref="F24">
    <cfRule type="cellIs" dxfId="104" priority="25" operator="lessThan">
      <formula>-5000</formula>
    </cfRule>
    <cfRule type="cellIs" dxfId="103" priority="26" operator="between">
      <formula>-4000</formula>
      <formula>0</formula>
    </cfRule>
    <cfRule type="cellIs" dxfId="102" priority="27" operator="greaterThan">
      <formula>0</formula>
    </cfRule>
  </conditionalFormatting>
  <conditionalFormatting sqref="F26">
    <cfRule type="cellIs" dxfId="101" priority="22" operator="lessThan">
      <formula>-5000</formula>
    </cfRule>
    <cfRule type="cellIs" dxfId="100" priority="23" operator="between">
      <formula>-4000</formula>
      <formula>0</formula>
    </cfRule>
    <cfRule type="cellIs" dxfId="99" priority="24" operator="greaterThan">
      <formula>0</formula>
    </cfRule>
  </conditionalFormatting>
  <conditionalFormatting sqref="F28">
    <cfRule type="cellIs" dxfId="98" priority="19" operator="lessThan">
      <formula>-5000</formula>
    </cfRule>
    <cfRule type="cellIs" dxfId="97" priority="20" operator="between">
      <formula>-4000</formula>
      <formula>0</formula>
    </cfRule>
    <cfRule type="cellIs" dxfId="96" priority="21" operator="greaterThan">
      <formula>0</formula>
    </cfRule>
  </conditionalFormatting>
  <conditionalFormatting sqref="F30">
    <cfRule type="cellIs" dxfId="95" priority="16" operator="lessThan">
      <formula>-5000</formula>
    </cfRule>
    <cfRule type="cellIs" dxfId="94" priority="17" operator="between">
      <formula>-4000</formula>
      <formula>0</formula>
    </cfRule>
    <cfRule type="cellIs" dxfId="93" priority="18" operator="greaterThan">
      <formula>0</formula>
    </cfRule>
  </conditionalFormatting>
  <conditionalFormatting sqref="F32">
    <cfRule type="cellIs" dxfId="92" priority="13" operator="lessThan">
      <formula>-5000</formula>
    </cfRule>
    <cfRule type="cellIs" dxfId="91" priority="14" operator="between">
      <formula>-4000</formula>
      <formula>0</formula>
    </cfRule>
    <cfRule type="cellIs" dxfId="90" priority="15" operator="greaterThan">
      <formula>0</formula>
    </cfRule>
  </conditionalFormatting>
  <conditionalFormatting sqref="F34">
    <cfRule type="cellIs" dxfId="89" priority="10" operator="lessThan">
      <formula>-5000</formula>
    </cfRule>
    <cfRule type="cellIs" dxfId="88" priority="11" operator="between">
      <formula>-4000</formula>
      <formula>0</formula>
    </cfRule>
    <cfRule type="cellIs" dxfId="87" priority="12" operator="greaterThan">
      <formula>0</formula>
    </cfRule>
  </conditionalFormatting>
  <conditionalFormatting sqref="F36">
    <cfRule type="cellIs" dxfId="86" priority="7" operator="lessThan">
      <formula>-5000</formula>
    </cfRule>
    <cfRule type="cellIs" dxfId="85" priority="8" operator="between">
      <formula>-4000</formula>
      <formula>0</formula>
    </cfRule>
    <cfRule type="cellIs" dxfId="84" priority="9" operator="greaterThan">
      <formula>0</formula>
    </cfRule>
  </conditionalFormatting>
  <conditionalFormatting sqref="F38">
    <cfRule type="cellIs" dxfId="83" priority="4" operator="lessThan">
      <formula>-5000</formula>
    </cfRule>
    <cfRule type="cellIs" dxfId="82" priority="5" operator="between">
      <formula>-4000</formula>
      <formula>0</formula>
    </cfRule>
    <cfRule type="cellIs" dxfId="81" priority="6" operator="greaterThan">
      <formula>0</formula>
    </cfRule>
  </conditionalFormatting>
  <conditionalFormatting sqref="F40">
    <cfRule type="cellIs" dxfId="80" priority="1" operator="lessThan">
      <formula>-5000</formula>
    </cfRule>
    <cfRule type="cellIs" dxfId="79" priority="2" operator="between">
      <formula>-4000</formula>
      <formula>0</formula>
    </cfRule>
    <cfRule type="cellIs" dxfId="78" priority="3" operator="greater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D39D-EDAC-4241-9C77-0278854C11B9}">
  <dimension ref="B3:J10"/>
  <sheetViews>
    <sheetView topLeftCell="A6" workbookViewId="0">
      <selection activeCell="G10" sqref="G10"/>
    </sheetView>
  </sheetViews>
  <sheetFormatPr defaultRowHeight="15" x14ac:dyDescent="0.25"/>
  <cols>
    <col min="2" max="2" width="12.42578125" bestFit="1" customWidth="1"/>
    <col min="3" max="4" width="10.5703125" bestFit="1" customWidth="1"/>
    <col min="5" max="5" width="10.28515625" bestFit="1" customWidth="1"/>
    <col min="6" max="6" width="9.7109375" bestFit="1" customWidth="1"/>
    <col min="7" max="8" width="10.28515625" bestFit="1" customWidth="1"/>
    <col min="9" max="9" width="9.7109375" bestFit="1" customWidth="1"/>
    <col min="10" max="10" width="10.28515625" bestFit="1" customWidth="1"/>
  </cols>
  <sheetData>
    <row r="3" spans="2:10" ht="24" x14ac:dyDescent="0.25">
      <c r="B3" s="110" t="s">
        <v>220</v>
      </c>
      <c r="C3" s="113">
        <v>45992</v>
      </c>
      <c r="D3" s="113">
        <v>46023</v>
      </c>
      <c r="E3" s="113">
        <v>46054</v>
      </c>
      <c r="F3" s="113">
        <v>46082</v>
      </c>
      <c r="G3" s="113">
        <v>46113</v>
      </c>
      <c r="H3" s="113">
        <v>46143</v>
      </c>
    </row>
    <row r="4" spans="2:10" x14ac:dyDescent="0.25">
      <c r="B4" s="115" t="s">
        <v>73</v>
      </c>
      <c r="C4" s="114">
        <v>156579.68</v>
      </c>
      <c r="D4" s="114">
        <v>113526.37999999999</v>
      </c>
      <c r="E4" s="114">
        <v>81112.929999999993</v>
      </c>
      <c r="F4" s="114">
        <v>82878.5</v>
      </c>
      <c r="G4" s="114">
        <v>78541.540000000008</v>
      </c>
      <c r="H4" s="114">
        <v>64466.67</v>
      </c>
    </row>
    <row r="5" spans="2:10" x14ac:dyDescent="0.25">
      <c r="B5" s="112"/>
      <c r="C5" s="114"/>
      <c r="D5" s="114">
        <f>D4-C4</f>
        <v>-43053.3</v>
      </c>
      <c r="E5" s="114">
        <f t="shared" ref="E5:H5" si="0">E4-D4</f>
        <v>-32413.449999999997</v>
      </c>
      <c r="F5" s="114">
        <f t="shared" si="0"/>
        <v>1765.570000000007</v>
      </c>
      <c r="G5" s="114">
        <f t="shared" si="0"/>
        <v>-4336.9599999999919</v>
      </c>
      <c r="H5" s="114">
        <f t="shared" si="0"/>
        <v>-14074.87000000001</v>
      </c>
    </row>
    <row r="8" spans="2:10" ht="24" x14ac:dyDescent="0.25">
      <c r="B8" s="110" t="s">
        <v>321</v>
      </c>
      <c r="C8" s="110" t="s">
        <v>220</v>
      </c>
      <c r="D8" s="110" t="s">
        <v>220</v>
      </c>
      <c r="E8" s="113">
        <v>45992</v>
      </c>
      <c r="F8" s="113">
        <v>46023</v>
      </c>
      <c r="G8" s="113">
        <v>46054</v>
      </c>
      <c r="H8" s="113">
        <v>46082</v>
      </c>
      <c r="I8" s="113">
        <v>46113</v>
      </c>
      <c r="J8" s="113">
        <v>46143</v>
      </c>
    </row>
    <row r="9" spans="2:10" x14ac:dyDescent="0.25">
      <c r="B9" s="111">
        <v>6</v>
      </c>
      <c r="C9" s="112" t="s">
        <v>67</v>
      </c>
      <c r="D9" s="115" t="s">
        <v>968</v>
      </c>
      <c r="E9" s="114">
        <v>14919.5</v>
      </c>
      <c r="F9" s="114">
        <v>24032.23</v>
      </c>
      <c r="G9" s="114">
        <v>12932.71</v>
      </c>
      <c r="H9" s="114">
        <v>14990.28</v>
      </c>
      <c r="I9" s="114">
        <v>14990.28</v>
      </c>
      <c r="J9" s="114">
        <v>0</v>
      </c>
    </row>
    <row r="10" spans="2:10" x14ac:dyDescent="0.25">
      <c r="B10" s="111"/>
      <c r="C10" s="112"/>
      <c r="D10" s="112"/>
      <c r="E10" s="114"/>
      <c r="F10" s="114">
        <f>F9-E9</f>
        <v>9112.73</v>
      </c>
      <c r="G10" s="114">
        <f t="shared" ref="G10:J10" si="1">G9-F9</f>
        <v>-11099.52</v>
      </c>
      <c r="H10" s="114">
        <f t="shared" si="1"/>
        <v>2057.5700000000015</v>
      </c>
      <c r="I10" s="114">
        <f t="shared" si="1"/>
        <v>0</v>
      </c>
      <c r="J10" s="114">
        <f t="shared" si="1"/>
        <v>-14990.28</v>
      </c>
    </row>
  </sheetData>
  <conditionalFormatting sqref="D5:H5">
    <cfRule type="cellIs" dxfId="63" priority="55" operator="lessThan">
      <formula>0</formula>
    </cfRule>
  </conditionalFormatting>
  <conditionalFormatting sqref="D5:H5">
    <cfRule type="cellIs" dxfId="62" priority="54" operator="greaterThan">
      <formula>0</formula>
    </cfRule>
  </conditionalFormatting>
  <conditionalFormatting sqref="D5:H5">
    <cfRule type="cellIs" dxfId="61" priority="53" operator="between">
      <formula>0</formula>
      <formula>-500000</formula>
    </cfRule>
  </conditionalFormatting>
  <conditionalFormatting sqref="D5:H5">
    <cfRule type="cellIs" dxfId="60" priority="52" operator="greaterThan">
      <formula>0</formula>
    </cfRule>
  </conditionalFormatting>
  <conditionalFormatting sqref="E5:H5">
    <cfRule type="cellIs" dxfId="59" priority="48" operator="between">
      <formula>-4000</formula>
      <formula>0</formula>
    </cfRule>
    <cfRule type="cellIs" dxfId="58" priority="49" operator="lessThan">
      <formula>-5000</formula>
    </cfRule>
    <cfRule type="cellIs" dxfId="57" priority="50" operator="between">
      <formula>-4000</formula>
      <formula>0</formula>
    </cfRule>
    <cfRule type="cellIs" dxfId="56" priority="51" operator="greaterThan">
      <formula>0</formula>
    </cfRule>
  </conditionalFormatting>
  <conditionalFormatting sqref="D5:H5">
    <cfRule type="cellIs" dxfId="55" priority="45" operator="lessThan">
      <formula>-4000</formula>
    </cfRule>
    <cfRule type="cellIs" dxfId="54" priority="46" operator="between">
      <formula>-3999</formula>
      <formula>0</formula>
    </cfRule>
    <cfRule type="cellIs" dxfId="53" priority="47" operator="greaterThan">
      <formula>0</formula>
    </cfRule>
  </conditionalFormatting>
  <conditionalFormatting sqref="D5">
    <cfRule type="cellIs" dxfId="52" priority="42" operator="lessThan">
      <formula>-5000</formula>
    </cfRule>
    <cfRule type="cellIs" dxfId="51" priority="43" operator="between">
      <formula>-4000</formula>
      <formula>0</formula>
    </cfRule>
    <cfRule type="cellIs" dxfId="50" priority="44" operator="greaterThan">
      <formula>0</formula>
    </cfRule>
  </conditionalFormatting>
  <conditionalFormatting sqref="F10:J10">
    <cfRule type="cellIs" dxfId="49" priority="41" operator="lessThan">
      <formula>0</formula>
    </cfRule>
  </conditionalFormatting>
  <conditionalFormatting sqref="F10:J10">
    <cfRule type="cellIs" dxfId="48" priority="40" operator="greaterThan">
      <formula>0</formula>
    </cfRule>
  </conditionalFormatting>
  <conditionalFormatting sqref="F10:J10">
    <cfRule type="cellIs" dxfId="47" priority="39" operator="between">
      <formula>0</formula>
      <formula>-500000</formula>
    </cfRule>
  </conditionalFormatting>
  <conditionalFormatting sqref="F10:J10">
    <cfRule type="cellIs" dxfId="46" priority="38" operator="greaterThan">
      <formula>0</formula>
    </cfRule>
  </conditionalFormatting>
  <conditionalFormatting sqref="G10:J10">
    <cfRule type="cellIs" dxfId="29" priority="20" operator="lessThan">
      <formula>-5000</formula>
    </cfRule>
    <cfRule type="cellIs" dxfId="28" priority="21" operator="between">
      <formula>-4000</formula>
      <formula>0</formula>
    </cfRule>
    <cfRule type="cellIs" dxfId="27" priority="22" operator="greaterThan">
      <formula>0</formula>
    </cfRule>
  </conditionalFormatting>
  <conditionalFormatting sqref="F10:J10">
    <cfRule type="cellIs" dxfId="26" priority="16" operator="lessThan">
      <formula>-4000</formula>
    </cfRule>
    <cfRule type="cellIs" dxfId="25" priority="17" operator="between">
      <formula>-3999</formula>
      <formula>0</formula>
    </cfRule>
    <cfRule type="cellIs" dxfId="24" priority="18" operator="greaterThan">
      <formula>0</formula>
    </cfRule>
  </conditionalFormatting>
  <conditionalFormatting sqref="F10">
    <cfRule type="cellIs" dxfId="11" priority="1" operator="lessThan">
      <formula>-5000</formula>
    </cfRule>
    <cfRule type="cellIs" dxfId="10" priority="2" operator="between">
      <formula>-4000</formula>
      <formula>0</formula>
    </cfRule>
    <cfRule type="cellIs" dxfId="9" priority="3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FAD5-7228-474C-9240-B22F9E464AC9}">
  <dimension ref="A3:AN52"/>
  <sheetViews>
    <sheetView topLeftCell="R1" workbookViewId="0">
      <selection activeCell="P15" sqref="P15"/>
    </sheetView>
  </sheetViews>
  <sheetFormatPr defaultRowHeight="15" x14ac:dyDescent="0.25"/>
  <cols>
    <col min="1" max="1" width="37.7109375" bestFit="1" customWidth="1"/>
    <col min="2" max="2" width="41.85546875" bestFit="1" customWidth="1"/>
    <col min="3" max="3" width="12" bestFit="1" customWidth="1"/>
    <col min="16" max="16" width="19.85546875" bestFit="1" customWidth="1"/>
    <col min="18" max="18" width="28" bestFit="1" customWidth="1"/>
    <col min="20" max="20" width="21.7109375" customWidth="1"/>
    <col min="21" max="21" width="21" bestFit="1" customWidth="1"/>
    <col min="22" max="22" width="10.7109375" bestFit="1" customWidth="1"/>
    <col min="24" max="24" width="10.42578125" customWidth="1"/>
    <col min="25" max="25" width="12.42578125" customWidth="1"/>
    <col min="26" max="26" width="11.42578125" customWidth="1"/>
    <col min="27" max="27" width="11.7109375" customWidth="1"/>
    <col min="28" max="28" width="15.7109375" customWidth="1"/>
    <col min="29" max="29" width="12" customWidth="1"/>
    <col min="31" max="31" width="13.5703125" customWidth="1"/>
    <col min="39" max="40" width="9.5703125" bestFit="1" customWidth="1"/>
  </cols>
  <sheetData>
    <row r="3" spans="1:40" s="14" customFormat="1" ht="45" x14ac:dyDescent="0.25">
      <c r="A3" s="3" t="s">
        <v>270</v>
      </c>
      <c r="B3" s="3" t="s">
        <v>271</v>
      </c>
      <c r="C3" s="3" t="s">
        <v>272</v>
      </c>
      <c r="D3" s="4">
        <v>46023</v>
      </c>
      <c r="E3" s="4">
        <v>46054</v>
      </c>
      <c r="F3" s="4">
        <v>46082</v>
      </c>
      <c r="G3" s="4">
        <v>46113</v>
      </c>
      <c r="H3" s="4">
        <v>46143</v>
      </c>
      <c r="I3" s="4">
        <v>46174</v>
      </c>
      <c r="J3" s="4">
        <v>46204</v>
      </c>
      <c r="K3" s="4">
        <v>46235</v>
      </c>
      <c r="L3" s="4">
        <v>46266</v>
      </c>
      <c r="M3" s="4">
        <v>46296</v>
      </c>
      <c r="N3" s="4">
        <v>46327</v>
      </c>
      <c r="O3" s="4">
        <v>46357</v>
      </c>
      <c r="P3" s="13" t="s">
        <v>273</v>
      </c>
      <c r="Q3" s="3" t="s">
        <v>274</v>
      </c>
      <c r="R3" s="3" t="s">
        <v>275</v>
      </c>
      <c r="S3" s="3" t="s">
        <v>276</v>
      </c>
      <c r="T3" s="3" t="s">
        <v>277</v>
      </c>
      <c r="U3" s="3" t="s">
        <v>247</v>
      </c>
      <c r="V3" s="3" t="s">
        <v>285</v>
      </c>
      <c r="W3" s="3" t="s">
        <v>232</v>
      </c>
      <c r="X3" s="3" t="s">
        <v>286</v>
      </c>
      <c r="Y3" s="3" t="s">
        <v>278</v>
      </c>
      <c r="Z3" s="3" t="s">
        <v>279</v>
      </c>
      <c r="AA3" s="3" t="s">
        <v>280</v>
      </c>
      <c r="AB3" s="5" t="s">
        <v>216</v>
      </c>
      <c r="AC3" s="3" t="s">
        <v>235</v>
      </c>
      <c r="AD3" s="11" t="s">
        <v>237</v>
      </c>
      <c r="AE3" s="11" t="s">
        <v>228</v>
      </c>
      <c r="AK3" s="28" t="s">
        <v>316</v>
      </c>
      <c r="AL3" s="28" t="s">
        <v>317</v>
      </c>
      <c r="AM3" s="28" t="s">
        <v>318</v>
      </c>
      <c r="AN3" s="28" t="s">
        <v>319</v>
      </c>
    </row>
    <row r="4" spans="1:40" x14ac:dyDescent="0.25">
      <c r="A4" s="15"/>
      <c r="B4" s="15"/>
      <c r="C4" s="15"/>
      <c r="D4" s="16"/>
      <c r="E4" s="16"/>
      <c r="F4" s="16"/>
      <c r="G4" s="17"/>
      <c r="H4" s="16"/>
      <c r="I4" s="16"/>
      <c r="J4" s="16"/>
      <c r="K4" s="16"/>
      <c r="L4" s="16"/>
      <c r="M4" s="17"/>
      <c r="N4" s="16"/>
      <c r="O4" s="16"/>
      <c r="P4" s="16"/>
      <c r="Q4" s="16"/>
      <c r="R4" s="18"/>
      <c r="S4" s="15"/>
      <c r="T4" s="15"/>
      <c r="U4" s="15"/>
      <c r="V4" s="15"/>
      <c r="W4" s="15"/>
      <c r="X4" s="15"/>
      <c r="Y4" s="19"/>
      <c r="Z4" s="15"/>
      <c r="AA4" s="15"/>
      <c r="AB4" s="20"/>
      <c r="AC4" s="15"/>
      <c r="AD4" s="21"/>
      <c r="AE4" s="15"/>
      <c r="AK4" s="26">
        <f>D4+E4+F4</f>
        <v>0</v>
      </c>
      <c r="AL4" s="26">
        <f>G4+H4+I4</f>
        <v>0</v>
      </c>
      <c r="AM4" s="26">
        <f>J4+K4+L4</f>
        <v>0</v>
      </c>
      <c r="AN4" s="26">
        <f>M4+N4+O4</f>
        <v>0</v>
      </c>
    </row>
    <row r="5" spans="1:40" x14ac:dyDescent="0.25">
      <c r="A5" s="15"/>
      <c r="B5" s="15"/>
      <c r="C5" s="15"/>
      <c r="D5" s="16"/>
      <c r="E5" s="16"/>
      <c r="F5" s="16"/>
      <c r="G5" s="17"/>
      <c r="H5" s="16"/>
      <c r="I5" s="16"/>
      <c r="J5" s="16"/>
      <c r="K5" s="16"/>
      <c r="L5" s="16"/>
      <c r="M5" s="16"/>
      <c r="N5" s="16"/>
      <c r="O5" s="16"/>
      <c r="P5" s="16"/>
      <c r="Q5" s="16"/>
      <c r="R5" s="18"/>
      <c r="S5" s="15"/>
      <c r="T5" s="15"/>
      <c r="U5" s="15"/>
      <c r="V5" s="15"/>
      <c r="W5" s="15"/>
      <c r="X5" s="15"/>
      <c r="Y5" s="19"/>
      <c r="Z5" s="15"/>
      <c r="AA5" s="15"/>
      <c r="AB5" s="20"/>
      <c r="AC5" s="15"/>
      <c r="AD5" s="21"/>
      <c r="AE5" s="15"/>
      <c r="AK5" s="26">
        <f t="shared" ref="AK5:AK52" si="0">D5+E5+F5</f>
        <v>0</v>
      </c>
      <c r="AL5" s="26">
        <f t="shared" ref="AL5:AL52" si="1">G5+H5+I5</f>
        <v>0</v>
      </c>
      <c r="AM5" s="26">
        <f t="shared" ref="AM5:AM52" si="2">J5+K5+L5</f>
        <v>0</v>
      </c>
      <c r="AN5" s="26">
        <f t="shared" ref="AN5:AN52" si="3">M5+N5+O5</f>
        <v>0</v>
      </c>
    </row>
    <row r="6" spans="1:40" x14ac:dyDescent="0.25">
      <c r="AK6" s="26">
        <f t="shared" si="0"/>
        <v>0</v>
      </c>
      <c r="AL6" s="26">
        <f t="shared" si="1"/>
        <v>0</v>
      </c>
      <c r="AM6" s="26">
        <f t="shared" si="2"/>
        <v>0</v>
      </c>
      <c r="AN6" s="26">
        <f t="shared" si="3"/>
        <v>0</v>
      </c>
    </row>
    <row r="7" spans="1:40" x14ac:dyDescent="0.25">
      <c r="AK7" s="26">
        <f t="shared" si="0"/>
        <v>0</v>
      </c>
      <c r="AL7" s="26">
        <f t="shared" si="1"/>
        <v>0</v>
      </c>
      <c r="AM7" s="26">
        <f t="shared" si="2"/>
        <v>0</v>
      </c>
      <c r="AN7" s="26">
        <f t="shared" si="3"/>
        <v>0</v>
      </c>
    </row>
    <row r="8" spans="1:40" x14ac:dyDescent="0.25">
      <c r="AK8" s="26">
        <f t="shared" si="0"/>
        <v>0</v>
      </c>
      <c r="AL8" s="26">
        <f t="shared" si="1"/>
        <v>0</v>
      </c>
      <c r="AM8" s="26">
        <f t="shared" si="2"/>
        <v>0</v>
      </c>
      <c r="AN8" s="26">
        <f t="shared" si="3"/>
        <v>0</v>
      </c>
    </row>
    <row r="9" spans="1:40" x14ac:dyDescent="0.25">
      <c r="AK9" s="26">
        <f t="shared" si="0"/>
        <v>0</v>
      </c>
      <c r="AL9" s="26">
        <f t="shared" si="1"/>
        <v>0</v>
      </c>
      <c r="AM9" s="26">
        <f t="shared" si="2"/>
        <v>0</v>
      </c>
      <c r="AN9" s="26">
        <f t="shared" si="3"/>
        <v>0</v>
      </c>
    </row>
    <row r="10" spans="1:40" x14ac:dyDescent="0.25">
      <c r="AK10" s="26">
        <f t="shared" si="0"/>
        <v>0</v>
      </c>
      <c r="AL10" s="26">
        <f t="shared" si="1"/>
        <v>0</v>
      </c>
      <c r="AM10" s="26">
        <f t="shared" si="2"/>
        <v>0</v>
      </c>
      <c r="AN10" s="26">
        <f t="shared" si="3"/>
        <v>0</v>
      </c>
    </row>
    <row r="11" spans="1:40" x14ac:dyDescent="0.25">
      <c r="AK11" s="26">
        <f t="shared" si="0"/>
        <v>0</v>
      </c>
      <c r="AL11" s="26">
        <f t="shared" si="1"/>
        <v>0</v>
      </c>
      <c r="AM11" s="26">
        <f t="shared" si="2"/>
        <v>0</v>
      </c>
      <c r="AN11" s="26">
        <f t="shared" si="3"/>
        <v>0</v>
      </c>
    </row>
    <row r="12" spans="1:40" x14ac:dyDescent="0.25">
      <c r="AK12" s="26">
        <f t="shared" si="0"/>
        <v>0</v>
      </c>
      <c r="AL12" s="26">
        <f t="shared" si="1"/>
        <v>0</v>
      </c>
      <c r="AM12" s="26">
        <f t="shared" si="2"/>
        <v>0</v>
      </c>
      <c r="AN12" s="26">
        <f t="shared" si="3"/>
        <v>0</v>
      </c>
    </row>
    <row r="13" spans="1:40" x14ac:dyDescent="0.25">
      <c r="AK13" s="26">
        <f t="shared" si="0"/>
        <v>0</v>
      </c>
      <c r="AL13" s="26">
        <f t="shared" si="1"/>
        <v>0</v>
      </c>
      <c r="AM13" s="26">
        <f t="shared" si="2"/>
        <v>0</v>
      </c>
      <c r="AN13" s="26">
        <f t="shared" si="3"/>
        <v>0</v>
      </c>
    </row>
    <row r="14" spans="1:40" x14ac:dyDescent="0.25">
      <c r="AK14" s="26">
        <f t="shared" si="0"/>
        <v>0</v>
      </c>
      <c r="AL14" s="26">
        <f t="shared" si="1"/>
        <v>0</v>
      </c>
      <c r="AM14" s="26">
        <f t="shared" si="2"/>
        <v>0</v>
      </c>
      <c r="AN14" s="26">
        <f t="shared" si="3"/>
        <v>0</v>
      </c>
    </row>
    <row r="15" spans="1:40" x14ac:dyDescent="0.25">
      <c r="AK15" s="26">
        <f t="shared" si="0"/>
        <v>0</v>
      </c>
      <c r="AL15" s="26">
        <f t="shared" si="1"/>
        <v>0</v>
      </c>
      <c r="AM15" s="26">
        <f t="shared" si="2"/>
        <v>0</v>
      </c>
      <c r="AN15" s="26">
        <f t="shared" si="3"/>
        <v>0</v>
      </c>
    </row>
    <row r="16" spans="1:40" x14ac:dyDescent="0.25">
      <c r="AK16" s="26">
        <f t="shared" si="0"/>
        <v>0</v>
      </c>
      <c r="AL16" s="26">
        <f t="shared" si="1"/>
        <v>0</v>
      </c>
      <c r="AM16" s="26">
        <f t="shared" si="2"/>
        <v>0</v>
      </c>
      <c r="AN16" s="26">
        <f t="shared" si="3"/>
        <v>0</v>
      </c>
    </row>
    <row r="17" spans="37:40" x14ac:dyDescent="0.25">
      <c r="AK17" s="26">
        <f t="shared" si="0"/>
        <v>0</v>
      </c>
      <c r="AL17" s="26">
        <f t="shared" si="1"/>
        <v>0</v>
      </c>
      <c r="AM17" s="26">
        <f t="shared" si="2"/>
        <v>0</v>
      </c>
      <c r="AN17" s="26">
        <f t="shared" si="3"/>
        <v>0</v>
      </c>
    </row>
    <row r="18" spans="37:40" x14ac:dyDescent="0.25">
      <c r="AK18" s="26">
        <f t="shared" si="0"/>
        <v>0</v>
      </c>
      <c r="AL18" s="26">
        <f t="shared" si="1"/>
        <v>0</v>
      </c>
      <c r="AM18" s="26">
        <f t="shared" si="2"/>
        <v>0</v>
      </c>
      <c r="AN18" s="26">
        <f t="shared" si="3"/>
        <v>0</v>
      </c>
    </row>
    <row r="19" spans="37:40" x14ac:dyDescent="0.25">
      <c r="AK19" s="26">
        <f t="shared" si="0"/>
        <v>0</v>
      </c>
      <c r="AL19" s="26">
        <f t="shared" si="1"/>
        <v>0</v>
      </c>
      <c r="AM19" s="26">
        <f t="shared" si="2"/>
        <v>0</v>
      </c>
      <c r="AN19" s="26">
        <f t="shared" si="3"/>
        <v>0</v>
      </c>
    </row>
    <row r="20" spans="37:40" x14ac:dyDescent="0.25">
      <c r="AK20" s="26">
        <f t="shared" si="0"/>
        <v>0</v>
      </c>
      <c r="AL20" s="26">
        <f t="shared" si="1"/>
        <v>0</v>
      </c>
      <c r="AM20" s="26">
        <f t="shared" si="2"/>
        <v>0</v>
      </c>
      <c r="AN20" s="26">
        <f t="shared" si="3"/>
        <v>0</v>
      </c>
    </row>
    <row r="21" spans="37:40" x14ac:dyDescent="0.25">
      <c r="AK21" s="26">
        <f t="shared" si="0"/>
        <v>0</v>
      </c>
      <c r="AL21" s="26">
        <f t="shared" si="1"/>
        <v>0</v>
      </c>
      <c r="AM21" s="26">
        <f t="shared" si="2"/>
        <v>0</v>
      </c>
      <c r="AN21" s="26">
        <f t="shared" si="3"/>
        <v>0</v>
      </c>
    </row>
    <row r="22" spans="37:40" x14ac:dyDescent="0.25">
      <c r="AK22" s="26">
        <f t="shared" si="0"/>
        <v>0</v>
      </c>
      <c r="AL22" s="26">
        <f t="shared" si="1"/>
        <v>0</v>
      </c>
      <c r="AM22" s="26">
        <f t="shared" si="2"/>
        <v>0</v>
      </c>
      <c r="AN22" s="26">
        <f t="shared" si="3"/>
        <v>0</v>
      </c>
    </row>
    <row r="23" spans="37:40" x14ac:dyDescent="0.25">
      <c r="AK23" s="26">
        <f t="shared" si="0"/>
        <v>0</v>
      </c>
      <c r="AL23" s="26">
        <f t="shared" si="1"/>
        <v>0</v>
      </c>
      <c r="AM23" s="26">
        <f t="shared" si="2"/>
        <v>0</v>
      </c>
      <c r="AN23" s="26">
        <f t="shared" si="3"/>
        <v>0</v>
      </c>
    </row>
    <row r="24" spans="37:40" x14ac:dyDescent="0.25">
      <c r="AK24" s="26">
        <f t="shared" si="0"/>
        <v>0</v>
      </c>
      <c r="AL24" s="26">
        <f t="shared" si="1"/>
        <v>0</v>
      </c>
      <c r="AM24" s="26">
        <f t="shared" si="2"/>
        <v>0</v>
      </c>
      <c r="AN24" s="26">
        <f t="shared" si="3"/>
        <v>0</v>
      </c>
    </row>
    <row r="25" spans="37:40" x14ac:dyDescent="0.25">
      <c r="AK25" s="26">
        <f t="shared" si="0"/>
        <v>0</v>
      </c>
      <c r="AL25" s="26">
        <f t="shared" si="1"/>
        <v>0</v>
      </c>
      <c r="AM25" s="26">
        <f t="shared" si="2"/>
        <v>0</v>
      </c>
      <c r="AN25" s="26">
        <f t="shared" si="3"/>
        <v>0</v>
      </c>
    </row>
    <row r="26" spans="37:40" x14ac:dyDescent="0.25">
      <c r="AK26" s="26">
        <f t="shared" si="0"/>
        <v>0</v>
      </c>
      <c r="AL26" s="26">
        <f t="shared" si="1"/>
        <v>0</v>
      </c>
      <c r="AM26" s="26">
        <f t="shared" si="2"/>
        <v>0</v>
      </c>
      <c r="AN26" s="26">
        <f t="shared" si="3"/>
        <v>0</v>
      </c>
    </row>
    <row r="27" spans="37:40" x14ac:dyDescent="0.25">
      <c r="AK27" s="26">
        <f t="shared" si="0"/>
        <v>0</v>
      </c>
      <c r="AL27" s="26">
        <f t="shared" si="1"/>
        <v>0</v>
      </c>
      <c r="AM27" s="26">
        <f t="shared" si="2"/>
        <v>0</v>
      </c>
      <c r="AN27" s="26">
        <f t="shared" si="3"/>
        <v>0</v>
      </c>
    </row>
    <row r="28" spans="37:40" x14ac:dyDescent="0.25">
      <c r="AK28" s="26">
        <f t="shared" si="0"/>
        <v>0</v>
      </c>
      <c r="AL28" s="26">
        <f t="shared" si="1"/>
        <v>0</v>
      </c>
      <c r="AM28" s="26">
        <f t="shared" si="2"/>
        <v>0</v>
      </c>
      <c r="AN28" s="26">
        <f t="shared" si="3"/>
        <v>0</v>
      </c>
    </row>
    <row r="29" spans="37:40" x14ac:dyDescent="0.25">
      <c r="AK29" s="26">
        <f t="shared" si="0"/>
        <v>0</v>
      </c>
      <c r="AL29" s="26">
        <f t="shared" si="1"/>
        <v>0</v>
      </c>
      <c r="AM29" s="26">
        <f t="shared" si="2"/>
        <v>0</v>
      </c>
      <c r="AN29" s="26">
        <f t="shared" si="3"/>
        <v>0</v>
      </c>
    </row>
    <row r="30" spans="37:40" x14ac:dyDescent="0.25">
      <c r="AK30" s="26">
        <f t="shared" si="0"/>
        <v>0</v>
      </c>
      <c r="AL30" s="26">
        <f t="shared" si="1"/>
        <v>0</v>
      </c>
      <c r="AM30" s="26">
        <f t="shared" si="2"/>
        <v>0</v>
      </c>
      <c r="AN30" s="26">
        <f t="shared" si="3"/>
        <v>0</v>
      </c>
    </row>
    <row r="31" spans="37:40" x14ac:dyDescent="0.25">
      <c r="AK31" s="26">
        <f t="shared" si="0"/>
        <v>0</v>
      </c>
      <c r="AL31" s="26">
        <f t="shared" si="1"/>
        <v>0</v>
      </c>
      <c r="AM31" s="26">
        <f t="shared" si="2"/>
        <v>0</v>
      </c>
      <c r="AN31" s="26">
        <f t="shared" si="3"/>
        <v>0</v>
      </c>
    </row>
    <row r="32" spans="37:40" x14ac:dyDescent="0.25">
      <c r="AK32" s="26">
        <f t="shared" si="0"/>
        <v>0</v>
      </c>
      <c r="AL32" s="26">
        <f t="shared" si="1"/>
        <v>0</v>
      </c>
      <c r="AM32" s="26">
        <f t="shared" si="2"/>
        <v>0</v>
      </c>
      <c r="AN32" s="26">
        <f t="shared" si="3"/>
        <v>0</v>
      </c>
    </row>
    <row r="33" spans="37:40" x14ac:dyDescent="0.25">
      <c r="AK33" s="26">
        <f t="shared" si="0"/>
        <v>0</v>
      </c>
      <c r="AL33" s="26">
        <f t="shared" si="1"/>
        <v>0</v>
      </c>
      <c r="AM33" s="26">
        <f t="shared" si="2"/>
        <v>0</v>
      </c>
      <c r="AN33" s="26">
        <f t="shared" si="3"/>
        <v>0</v>
      </c>
    </row>
    <row r="34" spans="37:40" x14ac:dyDescent="0.25">
      <c r="AK34" s="26">
        <f t="shared" si="0"/>
        <v>0</v>
      </c>
      <c r="AL34" s="26">
        <f t="shared" si="1"/>
        <v>0</v>
      </c>
      <c r="AM34" s="26">
        <f t="shared" si="2"/>
        <v>0</v>
      </c>
      <c r="AN34" s="26">
        <f t="shared" si="3"/>
        <v>0</v>
      </c>
    </row>
    <row r="35" spans="37:40" x14ac:dyDescent="0.25">
      <c r="AK35" s="26">
        <f t="shared" si="0"/>
        <v>0</v>
      </c>
      <c r="AL35" s="26">
        <f t="shared" si="1"/>
        <v>0</v>
      </c>
      <c r="AM35" s="26">
        <f t="shared" si="2"/>
        <v>0</v>
      </c>
      <c r="AN35" s="26">
        <f t="shared" si="3"/>
        <v>0</v>
      </c>
    </row>
    <row r="36" spans="37:40" x14ac:dyDescent="0.25">
      <c r="AK36" s="26">
        <f t="shared" si="0"/>
        <v>0</v>
      </c>
      <c r="AL36" s="26">
        <f t="shared" si="1"/>
        <v>0</v>
      </c>
      <c r="AM36" s="26">
        <f t="shared" si="2"/>
        <v>0</v>
      </c>
      <c r="AN36" s="26">
        <f t="shared" si="3"/>
        <v>0</v>
      </c>
    </row>
    <row r="37" spans="37:40" x14ac:dyDescent="0.25">
      <c r="AK37" s="26">
        <f t="shared" si="0"/>
        <v>0</v>
      </c>
      <c r="AL37" s="26">
        <f t="shared" si="1"/>
        <v>0</v>
      </c>
      <c r="AM37" s="26">
        <f t="shared" si="2"/>
        <v>0</v>
      </c>
      <c r="AN37" s="26">
        <f t="shared" si="3"/>
        <v>0</v>
      </c>
    </row>
    <row r="38" spans="37:40" x14ac:dyDescent="0.25">
      <c r="AK38" s="26">
        <f t="shared" si="0"/>
        <v>0</v>
      </c>
      <c r="AL38" s="26">
        <f t="shared" si="1"/>
        <v>0</v>
      </c>
      <c r="AM38" s="26">
        <f t="shared" si="2"/>
        <v>0</v>
      </c>
      <c r="AN38" s="26">
        <f t="shared" si="3"/>
        <v>0</v>
      </c>
    </row>
    <row r="39" spans="37:40" x14ac:dyDescent="0.25">
      <c r="AK39" s="26">
        <f t="shared" si="0"/>
        <v>0</v>
      </c>
      <c r="AL39" s="26">
        <f t="shared" si="1"/>
        <v>0</v>
      </c>
      <c r="AM39" s="26">
        <f t="shared" si="2"/>
        <v>0</v>
      </c>
      <c r="AN39" s="26">
        <f t="shared" si="3"/>
        <v>0</v>
      </c>
    </row>
    <row r="40" spans="37:40" x14ac:dyDescent="0.25">
      <c r="AK40" s="26">
        <f t="shared" si="0"/>
        <v>0</v>
      </c>
      <c r="AL40" s="26">
        <f t="shared" si="1"/>
        <v>0</v>
      </c>
      <c r="AM40" s="26">
        <f t="shared" si="2"/>
        <v>0</v>
      </c>
      <c r="AN40" s="26">
        <f t="shared" si="3"/>
        <v>0</v>
      </c>
    </row>
    <row r="41" spans="37:40" x14ac:dyDescent="0.25">
      <c r="AK41" s="26">
        <f t="shared" si="0"/>
        <v>0</v>
      </c>
      <c r="AL41" s="26">
        <f t="shared" si="1"/>
        <v>0</v>
      </c>
      <c r="AM41" s="26">
        <f t="shared" si="2"/>
        <v>0</v>
      </c>
      <c r="AN41" s="26">
        <f t="shared" si="3"/>
        <v>0</v>
      </c>
    </row>
    <row r="42" spans="37:40" x14ac:dyDescent="0.25">
      <c r="AK42" s="26">
        <f t="shared" si="0"/>
        <v>0</v>
      </c>
      <c r="AL42" s="26">
        <f t="shared" si="1"/>
        <v>0</v>
      </c>
      <c r="AM42" s="26">
        <f t="shared" si="2"/>
        <v>0</v>
      </c>
      <c r="AN42" s="26">
        <f t="shared" si="3"/>
        <v>0</v>
      </c>
    </row>
    <row r="43" spans="37:40" x14ac:dyDescent="0.25">
      <c r="AK43" s="26">
        <f t="shared" si="0"/>
        <v>0</v>
      </c>
      <c r="AL43" s="26">
        <f t="shared" si="1"/>
        <v>0</v>
      </c>
      <c r="AM43" s="26">
        <f t="shared" si="2"/>
        <v>0</v>
      </c>
      <c r="AN43" s="26">
        <f t="shared" si="3"/>
        <v>0</v>
      </c>
    </row>
    <row r="44" spans="37:40" x14ac:dyDescent="0.25">
      <c r="AK44" s="26">
        <f t="shared" si="0"/>
        <v>0</v>
      </c>
      <c r="AL44" s="26">
        <f t="shared" si="1"/>
        <v>0</v>
      </c>
      <c r="AM44" s="26">
        <f t="shared" si="2"/>
        <v>0</v>
      </c>
      <c r="AN44" s="26">
        <f t="shared" si="3"/>
        <v>0</v>
      </c>
    </row>
    <row r="45" spans="37:40" x14ac:dyDescent="0.25">
      <c r="AK45" s="26">
        <f t="shared" si="0"/>
        <v>0</v>
      </c>
      <c r="AL45" s="26">
        <f t="shared" si="1"/>
        <v>0</v>
      </c>
      <c r="AM45" s="26">
        <f t="shared" si="2"/>
        <v>0</v>
      </c>
      <c r="AN45" s="26">
        <f t="shared" si="3"/>
        <v>0</v>
      </c>
    </row>
    <row r="46" spans="37:40" x14ac:dyDescent="0.25">
      <c r="AK46" s="26">
        <f t="shared" si="0"/>
        <v>0</v>
      </c>
      <c r="AL46" s="26">
        <f t="shared" si="1"/>
        <v>0</v>
      </c>
      <c r="AM46" s="26">
        <f t="shared" si="2"/>
        <v>0</v>
      </c>
      <c r="AN46" s="26">
        <f t="shared" si="3"/>
        <v>0</v>
      </c>
    </row>
    <row r="47" spans="37:40" x14ac:dyDescent="0.25">
      <c r="AK47" s="26">
        <f t="shared" si="0"/>
        <v>0</v>
      </c>
      <c r="AL47" s="26">
        <f t="shared" si="1"/>
        <v>0</v>
      </c>
      <c r="AM47" s="26">
        <f t="shared" si="2"/>
        <v>0</v>
      </c>
      <c r="AN47" s="26">
        <f t="shared" si="3"/>
        <v>0</v>
      </c>
    </row>
    <row r="48" spans="37:40" x14ac:dyDescent="0.25">
      <c r="AK48" s="26">
        <f t="shared" si="0"/>
        <v>0</v>
      </c>
      <c r="AL48" s="26">
        <f t="shared" si="1"/>
        <v>0</v>
      </c>
      <c r="AM48" s="26">
        <f t="shared" si="2"/>
        <v>0</v>
      </c>
      <c r="AN48" s="26">
        <f t="shared" si="3"/>
        <v>0</v>
      </c>
    </row>
    <row r="49" spans="37:40" x14ac:dyDescent="0.25">
      <c r="AK49" s="26">
        <f t="shared" si="0"/>
        <v>0</v>
      </c>
      <c r="AL49" s="26">
        <f t="shared" si="1"/>
        <v>0</v>
      </c>
      <c r="AM49" s="26">
        <f t="shared" si="2"/>
        <v>0</v>
      </c>
      <c r="AN49" s="26">
        <f t="shared" si="3"/>
        <v>0</v>
      </c>
    </row>
    <row r="50" spans="37:40" x14ac:dyDescent="0.25">
      <c r="AK50" s="26">
        <f t="shared" si="0"/>
        <v>0</v>
      </c>
      <c r="AL50" s="26">
        <f t="shared" si="1"/>
        <v>0</v>
      </c>
      <c r="AM50" s="26">
        <f t="shared" si="2"/>
        <v>0</v>
      </c>
      <c r="AN50" s="26">
        <f t="shared" si="3"/>
        <v>0</v>
      </c>
    </row>
    <row r="51" spans="37:40" x14ac:dyDescent="0.25">
      <c r="AK51" s="26">
        <f t="shared" si="0"/>
        <v>0</v>
      </c>
      <c r="AL51" s="26">
        <f t="shared" si="1"/>
        <v>0</v>
      </c>
      <c r="AM51" s="26">
        <f t="shared" si="2"/>
        <v>0</v>
      </c>
      <c r="AN51" s="26">
        <f t="shared" si="3"/>
        <v>0</v>
      </c>
    </row>
    <row r="52" spans="37:40" x14ac:dyDescent="0.25">
      <c r="AK52" s="26">
        <f t="shared" si="0"/>
        <v>0</v>
      </c>
      <c r="AL52" s="26">
        <f t="shared" si="1"/>
        <v>0</v>
      </c>
      <c r="AM52" s="26">
        <f t="shared" si="2"/>
        <v>0</v>
      </c>
      <c r="AN52" s="26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551E-F1EB-44CF-98E5-8596A93337A2}">
  <dimension ref="A3:AR5"/>
  <sheetViews>
    <sheetView workbookViewId="0">
      <selection activeCell="AI4" sqref="AI4"/>
    </sheetView>
  </sheetViews>
  <sheetFormatPr defaultRowHeight="15" x14ac:dyDescent="0.25"/>
  <cols>
    <col min="3" max="3" width="14.5703125" customWidth="1"/>
    <col min="4" max="4" width="13.7109375" customWidth="1"/>
    <col min="5" max="5" width="9.140625" customWidth="1"/>
    <col min="6" max="6" width="10.5703125" bestFit="1" customWidth="1"/>
    <col min="10" max="18" width="9.5703125" bestFit="1" customWidth="1"/>
    <col min="21" max="21" width="13.28515625" customWidth="1"/>
    <col min="26" max="26" width="17.5703125" customWidth="1"/>
    <col min="28" max="28" width="13.7109375" customWidth="1"/>
    <col min="31" max="31" width="17.28515625" customWidth="1"/>
    <col min="33" max="33" width="13.7109375" customWidth="1"/>
    <col min="34" max="34" width="12.7109375" customWidth="1"/>
    <col min="36" max="37" width="14" customWidth="1"/>
    <col min="44" max="44" width="10" bestFit="1" customWidth="1"/>
  </cols>
  <sheetData>
    <row r="3" spans="1:44" ht="45" x14ac:dyDescent="0.25">
      <c r="A3" s="11" t="s">
        <v>217</v>
      </c>
      <c r="B3" s="11" t="s">
        <v>218</v>
      </c>
      <c r="C3" s="11" t="s">
        <v>269</v>
      </c>
      <c r="D3" s="11" t="s">
        <v>220</v>
      </c>
      <c r="E3" s="11" t="s">
        <v>1</v>
      </c>
      <c r="F3" s="11" t="s">
        <v>221</v>
      </c>
      <c r="G3" s="12">
        <v>46023</v>
      </c>
      <c r="H3" s="12">
        <v>46054</v>
      </c>
      <c r="I3" s="12">
        <v>46082</v>
      </c>
      <c r="J3" s="12">
        <v>46113</v>
      </c>
      <c r="K3" s="12">
        <v>46143</v>
      </c>
      <c r="L3" s="12">
        <v>46174</v>
      </c>
      <c r="M3" s="12">
        <v>46204</v>
      </c>
      <c r="N3" s="12">
        <v>46235</v>
      </c>
      <c r="O3" s="12">
        <v>46266</v>
      </c>
      <c r="P3" s="12">
        <v>46296</v>
      </c>
      <c r="Q3" s="12">
        <v>46327</v>
      </c>
      <c r="R3" s="12">
        <v>46357</v>
      </c>
      <c r="S3" s="12" t="s">
        <v>0</v>
      </c>
      <c r="T3" s="11" t="s">
        <v>222</v>
      </c>
      <c r="U3" s="11" t="s">
        <v>223</v>
      </c>
      <c r="V3" s="11" t="s">
        <v>224</v>
      </c>
      <c r="W3" s="11" t="s">
        <v>225</v>
      </c>
      <c r="X3" s="11" t="s">
        <v>226</v>
      </c>
      <c r="Y3" s="11" t="s">
        <v>227</v>
      </c>
      <c r="Z3" s="11" t="s">
        <v>228</v>
      </c>
      <c r="AA3" s="11" t="s">
        <v>229</v>
      </c>
      <c r="AB3" s="11" t="s">
        <v>230</v>
      </c>
      <c r="AC3" s="11" t="s">
        <v>231</v>
      </c>
      <c r="AD3" s="11" t="s">
        <v>232</v>
      </c>
      <c r="AE3" s="11" t="s">
        <v>233</v>
      </c>
      <c r="AF3" s="11" t="s">
        <v>234</v>
      </c>
      <c r="AG3" s="11" t="s">
        <v>216</v>
      </c>
      <c r="AH3" s="3" t="s">
        <v>235</v>
      </c>
      <c r="AI3" s="11" t="s">
        <v>237</v>
      </c>
      <c r="AJ3" s="11" t="s">
        <v>228</v>
      </c>
      <c r="AK3" s="7" t="s">
        <v>140</v>
      </c>
      <c r="AL3" s="8" t="s">
        <v>268</v>
      </c>
      <c r="AM3" s="8" t="s">
        <v>267</v>
      </c>
      <c r="AO3" s="28" t="s">
        <v>316</v>
      </c>
      <c r="AP3" s="28" t="s">
        <v>317</v>
      </c>
      <c r="AQ3" s="28" t="s">
        <v>318</v>
      </c>
      <c r="AR3" s="28" t="s">
        <v>319</v>
      </c>
    </row>
    <row r="4" spans="1:44" x14ac:dyDescent="0.25">
      <c r="A4" s="95">
        <v>1</v>
      </c>
      <c r="B4" s="96" t="s">
        <v>141</v>
      </c>
      <c r="C4" s="95" t="s">
        <v>883</v>
      </c>
      <c r="D4" s="97" t="s">
        <v>168</v>
      </c>
      <c r="E4" s="94" t="s">
        <v>884</v>
      </c>
      <c r="F4" s="98">
        <v>21808</v>
      </c>
      <c r="G4" s="98"/>
      <c r="H4" s="98"/>
      <c r="I4" s="98"/>
      <c r="J4" s="98">
        <v>2423.1111111111113</v>
      </c>
      <c r="K4" s="98">
        <v>2423.1111111111113</v>
      </c>
      <c r="L4" s="98">
        <v>2423.1111111111113</v>
      </c>
      <c r="M4" s="99">
        <v>2423.1111111111113</v>
      </c>
      <c r="N4" s="99">
        <v>2423.1111111111113</v>
      </c>
      <c r="O4" s="99">
        <v>2423.1111111111113</v>
      </c>
      <c r="P4" s="99">
        <v>2423.1111111111113</v>
      </c>
      <c r="Q4" s="99">
        <v>2423.1111111111113</v>
      </c>
      <c r="R4" s="99">
        <v>2423.1111111111113</v>
      </c>
      <c r="S4" s="100" t="s">
        <v>62</v>
      </c>
      <c r="T4" s="100" t="s">
        <v>64</v>
      </c>
      <c r="U4" s="100" t="s">
        <v>243</v>
      </c>
      <c r="V4" s="100" t="s">
        <v>244</v>
      </c>
      <c r="W4" s="100" t="s">
        <v>151</v>
      </c>
      <c r="X4" s="100" t="s">
        <v>2</v>
      </c>
      <c r="Y4" s="100" t="s">
        <v>245</v>
      </c>
      <c r="Z4" s="100" t="s">
        <v>63</v>
      </c>
      <c r="AA4" s="100" t="s">
        <v>4</v>
      </c>
      <c r="AB4" s="100" t="s">
        <v>299</v>
      </c>
      <c r="AC4" s="100" t="s">
        <v>4</v>
      </c>
      <c r="AD4" s="100" t="s">
        <v>246</v>
      </c>
      <c r="AE4" s="100" t="s">
        <v>142</v>
      </c>
      <c r="AF4" s="100" t="s">
        <v>259</v>
      </c>
      <c r="AG4" s="1" t="s">
        <v>168</v>
      </c>
      <c r="AH4" s="1" t="s">
        <v>262</v>
      </c>
      <c r="AI4" s="15" t="s">
        <v>243</v>
      </c>
      <c r="AJ4" s="15" t="s">
        <v>63</v>
      </c>
      <c r="AK4" t="s">
        <v>938</v>
      </c>
      <c r="AL4" t="s">
        <v>4</v>
      </c>
      <c r="AM4" t="s">
        <v>3</v>
      </c>
      <c r="AO4" s="27">
        <f>G4+H4+I4</f>
        <v>0</v>
      </c>
      <c r="AP4" s="27">
        <f>J4+K4+L4</f>
        <v>7269.3333333333339</v>
      </c>
      <c r="AQ4" s="27">
        <f>M4+N4+O4</f>
        <v>7269.3333333333339</v>
      </c>
      <c r="AR4" s="27">
        <f>P4+Q4+R4</f>
        <v>7269.3333333333339</v>
      </c>
    </row>
    <row r="5" spans="1:44" x14ac:dyDescent="0.25">
      <c r="A5" s="95"/>
      <c r="B5" s="96"/>
      <c r="C5" s="95"/>
      <c r="D5" s="97"/>
      <c r="E5" s="94"/>
      <c r="F5" s="98"/>
      <c r="G5" s="98"/>
      <c r="H5" s="98"/>
      <c r="I5" s="98"/>
      <c r="J5" s="98"/>
      <c r="K5" s="98"/>
      <c r="L5" s="98"/>
      <c r="M5" s="99"/>
      <c r="N5" s="99"/>
      <c r="O5" s="99"/>
      <c r="P5" s="99"/>
      <c r="Q5" s="99"/>
      <c r="R5" s="99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"/>
      <c r="AH5" s="1"/>
      <c r="AI5" s="15"/>
      <c r="AJ5" s="15"/>
      <c r="AO5" s="27">
        <f>G5+H5+I5</f>
        <v>0</v>
      </c>
      <c r="AP5" s="27">
        <f>J5+K5+L5</f>
        <v>0</v>
      </c>
      <c r="AQ5" s="27">
        <f>M5+N5+O5</f>
        <v>0</v>
      </c>
      <c r="AR5" s="27">
        <f>P5+Q5+R5</f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AFC6-ED39-42C5-9FE0-67A63A6E127F}">
  <dimension ref="A3:Q80"/>
  <sheetViews>
    <sheetView workbookViewId="0">
      <selection activeCell="O4" sqref="O4:O80"/>
    </sheetView>
  </sheetViews>
  <sheetFormatPr defaultRowHeight="15" x14ac:dyDescent="0.25"/>
  <cols>
    <col min="1" max="1" width="12.5703125" customWidth="1"/>
    <col min="2" max="2" width="16.28515625" customWidth="1"/>
    <col min="3" max="3" width="12" bestFit="1" customWidth="1"/>
    <col min="4" max="4" width="13.42578125" customWidth="1"/>
    <col min="9" max="10" width="12.140625" customWidth="1"/>
    <col min="12" max="12" width="13" customWidth="1"/>
    <col min="13" max="13" width="24" customWidth="1"/>
    <col min="14" max="14" width="13.85546875" customWidth="1"/>
    <col min="16" max="16" width="5.85546875" customWidth="1"/>
    <col min="17" max="17" width="23.28515625" customWidth="1"/>
  </cols>
  <sheetData>
    <row r="3" spans="1:17" s="14" customFormat="1" ht="45" x14ac:dyDescent="0.25">
      <c r="A3" s="11" t="s">
        <v>270</v>
      </c>
      <c r="B3" s="11" t="s">
        <v>271</v>
      </c>
      <c r="C3" s="11" t="s">
        <v>272</v>
      </c>
      <c r="D3" s="22" t="s">
        <v>287</v>
      </c>
      <c r="E3" s="11" t="s">
        <v>274</v>
      </c>
      <c r="F3" s="11" t="s">
        <v>275</v>
      </c>
      <c r="G3" s="11" t="s">
        <v>276</v>
      </c>
      <c r="H3" s="11" t="s">
        <v>277</v>
      </c>
      <c r="I3" s="11" t="s">
        <v>247</v>
      </c>
      <c r="J3" s="11" t="s">
        <v>285</v>
      </c>
      <c r="K3" s="11" t="s">
        <v>232</v>
      </c>
      <c r="L3" s="11" t="s">
        <v>288</v>
      </c>
      <c r="M3" s="25" t="s">
        <v>216</v>
      </c>
      <c r="N3" s="11" t="s">
        <v>235</v>
      </c>
      <c r="O3" s="11" t="s">
        <v>237</v>
      </c>
      <c r="Q3" s="11" t="s">
        <v>334</v>
      </c>
    </row>
    <row r="4" spans="1:17" x14ac:dyDescent="0.25">
      <c r="A4" s="15" t="s">
        <v>65</v>
      </c>
      <c r="B4" s="15" t="s">
        <v>441</v>
      </c>
      <c r="C4" s="15">
        <v>41670280789</v>
      </c>
      <c r="D4" s="23">
        <v>2500000</v>
      </c>
      <c r="E4" s="15" t="s">
        <v>62</v>
      </c>
      <c r="F4" s="15" t="s">
        <v>282</v>
      </c>
      <c r="G4" s="15" t="s">
        <v>241</v>
      </c>
      <c r="H4" s="15" t="s">
        <v>283</v>
      </c>
      <c r="I4" s="15" t="s">
        <v>303</v>
      </c>
      <c r="J4" s="15">
        <v>40</v>
      </c>
      <c r="K4" s="24" t="s">
        <v>265</v>
      </c>
      <c r="L4" s="15">
        <v>0</v>
      </c>
      <c r="M4" s="15" t="s">
        <v>65</v>
      </c>
      <c r="N4" s="15"/>
      <c r="O4" s="33" t="s">
        <v>265</v>
      </c>
      <c r="Q4" s="107"/>
    </row>
    <row r="5" spans="1:17" x14ac:dyDescent="0.25">
      <c r="A5" s="15" t="s">
        <v>143</v>
      </c>
      <c r="B5" s="15" t="s">
        <v>526</v>
      </c>
      <c r="C5" s="15">
        <v>45429812745</v>
      </c>
      <c r="D5" s="23">
        <v>1968500</v>
      </c>
      <c r="E5" s="15" t="s">
        <v>66</v>
      </c>
      <c r="F5" s="15" t="s">
        <v>282</v>
      </c>
      <c r="G5" s="15" t="s">
        <v>238</v>
      </c>
      <c r="H5" s="15" t="s">
        <v>4</v>
      </c>
      <c r="I5" s="15" t="s">
        <v>303</v>
      </c>
      <c r="J5" s="15">
        <v>40</v>
      </c>
      <c r="K5" s="24" t="s">
        <v>240</v>
      </c>
      <c r="L5" s="15" t="s">
        <v>292</v>
      </c>
      <c r="M5" s="15" t="s">
        <v>73</v>
      </c>
      <c r="N5" s="15"/>
      <c r="O5" s="33" t="s">
        <v>264</v>
      </c>
      <c r="Q5" s="107"/>
    </row>
    <row r="6" spans="1:17" x14ac:dyDescent="0.25">
      <c r="A6" s="15" t="s">
        <v>477</v>
      </c>
      <c r="B6" s="15" t="s">
        <v>478</v>
      </c>
      <c r="C6" s="15">
        <v>43739947021</v>
      </c>
      <c r="D6" s="23">
        <v>500000</v>
      </c>
      <c r="E6" s="15" t="s">
        <v>62</v>
      </c>
      <c r="F6" s="15" t="s">
        <v>294</v>
      </c>
      <c r="G6" s="15" t="s">
        <v>241</v>
      </c>
      <c r="H6" s="15" t="s">
        <v>4</v>
      </c>
      <c r="I6" s="15" t="s">
        <v>398</v>
      </c>
      <c r="J6" s="15">
        <v>40</v>
      </c>
      <c r="K6" s="24" t="s">
        <v>265</v>
      </c>
      <c r="L6" s="15" t="s">
        <v>292</v>
      </c>
      <c r="M6" s="15" t="e">
        <v>#N/A</v>
      </c>
      <c r="N6" s="15"/>
      <c r="O6" s="33" t="s">
        <v>265</v>
      </c>
      <c r="Q6" s="107"/>
    </row>
    <row r="7" spans="1:17" x14ac:dyDescent="0.25">
      <c r="A7" s="15" t="s">
        <v>65</v>
      </c>
      <c r="B7" s="15" t="s">
        <v>434</v>
      </c>
      <c r="C7" s="15">
        <v>39542500784</v>
      </c>
      <c r="D7" s="23">
        <v>500000</v>
      </c>
      <c r="E7" s="15" t="s">
        <v>62</v>
      </c>
      <c r="F7" s="15" t="s">
        <v>282</v>
      </c>
      <c r="G7" s="15" t="s">
        <v>241</v>
      </c>
      <c r="H7" s="15" t="s">
        <v>283</v>
      </c>
      <c r="I7" s="15" t="s">
        <v>303</v>
      </c>
      <c r="J7" s="15">
        <v>40</v>
      </c>
      <c r="K7" s="24" t="s">
        <v>241</v>
      </c>
      <c r="L7" s="15">
        <v>0</v>
      </c>
      <c r="M7" s="15" t="s">
        <v>65</v>
      </c>
      <c r="N7" s="15"/>
      <c r="O7" s="33" t="s">
        <v>265</v>
      </c>
      <c r="Q7" s="107"/>
    </row>
    <row r="8" spans="1:17" x14ac:dyDescent="0.25">
      <c r="A8" s="15" t="s">
        <v>138</v>
      </c>
      <c r="B8" s="15" t="s">
        <v>423</v>
      </c>
      <c r="C8" s="15">
        <v>36059941801</v>
      </c>
      <c r="D8" s="23">
        <v>500000</v>
      </c>
      <c r="E8" s="15" t="s">
        <v>68</v>
      </c>
      <c r="F8" s="15" t="s">
        <v>294</v>
      </c>
      <c r="G8" s="15" t="s">
        <v>238</v>
      </c>
      <c r="H8" s="15" t="s">
        <v>295</v>
      </c>
      <c r="I8" s="15" t="s">
        <v>303</v>
      </c>
      <c r="J8" s="15">
        <v>40</v>
      </c>
      <c r="K8" s="24" t="s">
        <v>250</v>
      </c>
      <c r="L8" s="15" t="s">
        <v>292</v>
      </c>
      <c r="M8" s="15" t="s">
        <v>138</v>
      </c>
      <c r="N8" s="15"/>
      <c r="O8" s="33" t="s">
        <v>264</v>
      </c>
      <c r="Q8" s="107"/>
    </row>
    <row r="9" spans="1:17" x14ac:dyDescent="0.25">
      <c r="A9" s="15" t="s">
        <v>386</v>
      </c>
      <c r="B9" s="15" t="s">
        <v>387</v>
      </c>
      <c r="C9" s="15">
        <v>35470207384</v>
      </c>
      <c r="D9" s="23">
        <v>450000</v>
      </c>
      <c r="E9" s="15" t="s">
        <v>66</v>
      </c>
      <c r="F9" s="15" t="s">
        <v>281</v>
      </c>
      <c r="G9" s="15" t="s">
        <v>243</v>
      </c>
      <c r="H9" s="15" t="s">
        <v>283</v>
      </c>
      <c r="I9" s="15" t="s">
        <v>299</v>
      </c>
      <c r="J9" s="15">
        <v>70</v>
      </c>
      <c r="K9" s="24" t="s">
        <v>246</v>
      </c>
      <c r="L9" s="15" t="s">
        <v>292</v>
      </c>
      <c r="M9" s="15" t="s">
        <v>386</v>
      </c>
      <c r="N9" s="15"/>
      <c r="O9" s="33" t="s">
        <v>266</v>
      </c>
      <c r="Q9" s="107"/>
    </row>
    <row r="10" spans="1:17" x14ac:dyDescent="0.25">
      <c r="A10" s="15" t="s">
        <v>96</v>
      </c>
      <c r="B10" s="15" t="s">
        <v>420</v>
      </c>
      <c r="C10" s="15">
        <v>39625066824</v>
      </c>
      <c r="D10" s="23">
        <v>250000</v>
      </c>
      <c r="E10" s="15" t="s">
        <v>68</v>
      </c>
      <c r="F10" s="15" t="s">
        <v>282</v>
      </c>
      <c r="G10" s="15" t="s">
        <v>241</v>
      </c>
      <c r="H10" s="15" t="s">
        <v>4</v>
      </c>
      <c r="I10" s="15" t="s">
        <v>299</v>
      </c>
      <c r="J10" s="15">
        <v>60</v>
      </c>
      <c r="K10" s="24" t="s">
        <v>265</v>
      </c>
      <c r="L10" s="15" t="s">
        <v>293</v>
      </c>
      <c r="M10" s="15" t="s">
        <v>96</v>
      </c>
      <c r="N10" s="15"/>
      <c r="O10" s="33" t="s">
        <v>265</v>
      </c>
      <c r="Q10" s="107"/>
    </row>
    <row r="11" spans="1:17" x14ac:dyDescent="0.25">
      <c r="A11" s="15" t="s">
        <v>289</v>
      </c>
      <c r="B11" s="15" t="s">
        <v>421</v>
      </c>
      <c r="C11" s="15">
        <v>39566008690</v>
      </c>
      <c r="D11" s="23">
        <v>250000</v>
      </c>
      <c r="E11" s="15" t="s">
        <v>66</v>
      </c>
      <c r="F11" s="15" t="s">
        <v>294</v>
      </c>
      <c r="G11" s="15" t="s">
        <v>241</v>
      </c>
      <c r="H11" s="15" t="s">
        <v>295</v>
      </c>
      <c r="I11" s="15" t="s">
        <v>300</v>
      </c>
      <c r="J11" s="15">
        <v>60</v>
      </c>
      <c r="K11" s="24" t="s">
        <v>265</v>
      </c>
      <c r="L11" s="15" t="s">
        <v>293</v>
      </c>
      <c r="M11" s="15" t="s">
        <v>132</v>
      </c>
      <c r="N11" s="15"/>
      <c r="O11" s="33" t="s">
        <v>265</v>
      </c>
      <c r="Q11" s="107"/>
    </row>
    <row r="12" spans="1:17" x14ac:dyDescent="0.25">
      <c r="A12" s="15" t="s">
        <v>138</v>
      </c>
      <c r="B12" s="15" t="s">
        <v>422</v>
      </c>
      <c r="C12" s="15">
        <v>39549005898</v>
      </c>
      <c r="D12" s="23">
        <v>250000</v>
      </c>
      <c r="E12" s="15" t="s">
        <v>68</v>
      </c>
      <c r="F12" s="15" t="s">
        <v>294</v>
      </c>
      <c r="G12" s="15" t="s">
        <v>238</v>
      </c>
      <c r="H12" s="15" t="s">
        <v>7</v>
      </c>
      <c r="I12" s="15" t="s">
        <v>251</v>
      </c>
      <c r="J12" s="15">
        <v>40</v>
      </c>
      <c r="K12" s="24" t="s">
        <v>250</v>
      </c>
      <c r="L12" s="15" t="s">
        <v>293</v>
      </c>
      <c r="M12" s="15" t="s">
        <v>138</v>
      </c>
      <c r="N12" s="15"/>
      <c r="O12" s="33" t="s">
        <v>264</v>
      </c>
      <c r="Q12" s="107"/>
    </row>
    <row r="13" spans="1:17" x14ac:dyDescent="0.25">
      <c r="A13" s="15" t="s">
        <v>515</v>
      </c>
      <c r="B13" s="15" t="s">
        <v>516</v>
      </c>
      <c r="C13" s="15">
        <v>43880417879</v>
      </c>
      <c r="D13" s="23">
        <v>200000</v>
      </c>
      <c r="E13" s="15" t="s">
        <v>517</v>
      </c>
      <c r="F13" s="15" t="s">
        <v>294</v>
      </c>
      <c r="G13" s="15" t="s">
        <v>243</v>
      </c>
      <c r="H13" s="15" t="s">
        <v>7</v>
      </c>
      <c r="I13" s="15" t="s">
        <v>300</v>
      </c>
      <c r="J13" s="15">
        <v>50</v>
      </c>
      <c r="K13" s="24" t="s">
        <v>246</v>
      </c>
      <c r="L13" s="15" t="s">
        <v>297</v>
      </c>
      <c r="M13" s="15" t="e">
        <v>#N/A</v>
      </c>
      <c r="N13" s="15"/>
      <c r="O13" s="33" t="s">
        <v>266</v>
      </c>
      <c r="Q13" s="107"/>
    </row>
    <row r="14" spans="1:17" x14ac:dyDescent="0.25">
      <c r="A14" s="15" t="s">
        <v>138</v>
      </c>
      <c r="B14" s="15" t="s">
        <v>479</v>
      </c>
      <c r="C14" s="15">
        <v>43739693474</v>
      </c>
      <c r="D14" s="23">
        <v>200000</v>
      </c>
      <c r="E14" s="15" t="s">
        <v>68</v>
      </c>
      <c r="F14" s="15" t="s">
        <v>281</v>
      </c>
      <c r="G14" s="15" t="s">
        <v>238</v>
      </c>
      <c r="H14" s="15" t="s">
        <v>7</v>
      </c>
      <c r="I14" s="15" t="s">
        <v>248</v>
      </c>
      <c r="J14" s="15">
        <v>60</v>
      </c>
      <c r="K14" s="24" t="s">
        <v>250</v>
      </c>
      <c r="L14" s="15" t="s">
        <v>293</v>
      </c>
      <c r="M14" s="15" t="s">
        <v>138</v>
      </c>
      <c r="N14" s="15"/>
      <c r="O14" s="33" t="s">
        <v>264</v>
      </c>
      <c r="Q14" s="107"/>
    </row>
    <row r="15" spans="1:17" x14ac:dyDescent="0.25">
      <c r="A15" s="15" t="s">
        <v>407</v>
      </c>
      <c r="B15" s="15" t="s">
        <v>424</v>
      </c>
      <c r="C15" s="15">
        <v>39625079060</v>
      </c>
      <c r="D15" s="23">
        <v>200000</v>
      </c>
      <c r="E15" s="15" t="s">
        <v>68</v>
      </c>
      <c r="F15" s="15" t="s">
        <v>294</v>
      </c>
      <c r="G15" s="15" t="s">
        <v>241</v>
      </c>
      <c r="H15" s="15" t="s">
        <v>4</v>
      </c>
      <c r="I15" s="15" t="s">
        <v>398</v>
      </c>
      <c r="J15" s="15">
        <v>40</v>
      </c>
      <c r="K15" s="24" t="s">
        <v>265</v>
      </c>
      <c r="L15" s="15" t="s">
        <v>293</v>
      </c>
      <c r="M15" s="15" t="s">
        <v>407</v>
      </c>
      <c r="N15" s="15"/>
      <c r="O15" s="33" t="s">
        <v>265</v>
      </c>
      <c r="Q15" s="107"/>
    </row>
    <row r="16" spans="1:17" x14ac:dyDescent="0.25">
      <c r="A16" s="15" t="s">
        <v>290</v>
      </c>
      <c r="B16" s="15" t="s">
        <v>298</v>
      </c>
      <c r="C16" s="15">
        <v>16902120799</v>
      </c>
      <c r="D16" s="23">
        <v>200000</v>
      </c>
      <c r="E16" s="15" t="s">
        <v>68</v>
      </c>
      <c r="F16" s="15" t="s">
        <v>294</v>
      </c>
      <c r="G16" s="15" t="s">
        <v>243</v>
      </c>
      <c r="H16" s="15" t="s">
        <v>4</v>
      </c>
      <c r="I16" s="15" t="s">
        <v>299</v>
      </c>
      <c r="J16" s="15">
        <v>70</v>
      </c>
      <c r="K16" s="24" t="s">
        <v>246</v>
      </c>
      <c r="L16" s="15" t="s">
        <v>293</v>
      </c>
      <c r="M16" s="15" t="s">
        <v>290</v>
      </c>
      <c r="N16" s="15"/>
      <c r="O16" s="33" t="s">
        <v>266</v>
      </c>
      <c r="Q16" s="107"/>
    </row>
    <row r="17" spans="1:17" x14ac:dyDescent="0.25">
      <c r="A17" s="15" t="s">
        <v>143</v>
      </c>
      <c r="B17" s="15" t="s">
        <v>527</v>
      </c>
      <c r="C17" s="15">
        <v>40249417573</v>
      </c>
      <c r="D17" s="23">
        <v>192250</v>
      </c>
      <c r="E17" s="15" t="s">
        <v>66</v>
      </c>
      <c r="F17" s="15" t="s">
        <v>282</v>
      </c>
      <c r="G17" s="15" t="s">
        <v>238</v>
      </c>
      <c r="H17" s="15" t="s">
        <v>4</v>
      </c>
      <c r="I17" s="15" t="s">
        <v>303</v>
      </c>
      <c r="J17" s="15">
        <v>70</v>
      </c>
      <c r="K17" s="24" t="s">
        <v>240</v>
      </c>
      <c r="L17" s="15" t="s">
        <v>292</v>
      </c>
      <c r="M17" s="15" t="s">
        <v>73</v>
      </c>
      <c r="N17" s="15"/>
      <c r="O17" s="33" t="s">
        <v>264</v>
      </c>
      <c r="Q17" s="107"/>
    </row>
    <row r="18" spans="1:17" x14ac:dyDescent="0.25">
      <c r="A18" s="15" t="s">
        <v>65</v>
      </c>
      <c r="B18" s="15" t="s">
        <v>448</v>
      </c>
      <c r="C18" s="15">
        <v>40256472228</v>
      </c>
      <c r="D18" s="23">
        <v>170800</v>
      </c>
      <c r="E18" s="15" t="s">
        <v>62</v>
      </c>
      <c r="F18" s="15" t="s">
        <v>282</v>
      </c>
      <c r="G18" s="15" t="s">
        <v>241</v>
      </c>
      <c r="H18" s="15" t="s">
        <v>283</v>
      </c>
      <c r="I18" s="15" t="s">
        <v>303</v>
      </c>
      <c r="J18" s="15">
        <v>50</v>
      </c>
      <c r="K18" s="24" t="s">
        <v>265</v>
      </c>
      <c r="L18" s="15" t="s">
        <v>297</v>
      </c>
      <c r="M18" s="15" t="s">
        <v>65</v>
      </c>
      <c r="N18" s="15"/>
      <c r="O18" s="33" t="s">
        <v>265</v>
      </c>
      <c r="Q18" s="107"/>
    </row>
    <row r="19" spans="1:17" x14ac:dyDescent="0.25">
      <c r="A19" s="15" t="s">
        <v>84</v>
      </c>
      <c r="B19" s="15" t="s">
        <v>460</v>
      </c>
      <c r="C19" s="15">
        <v>39333712786</v>
      </c>
      <c r="D19" s="23">
        <v>161070</v>
      </c>
      <c r="E19" s="15" t="s">
        <v>66</v>
      </c>
      <c r="F19" s="15" t="s">
        <v>282</v>
      </c>
      <c r="G19" s="15" t="s">
        <v>238</v>
      </c>
      <c r="H19" s="15" t="s">
        <v>256</v>
      </c>
      <c r="I19" s="15" t="s">
        <v>398</v>
      </c>
      <c r="J19" s="15">
        <v>50</v>
      </c>
      <c r="K19" s="24" t="s">
        <v>258</v>
      </c>
      <c r="L19" s="15" t="s">
        <v>293</v>
      </c>
      <c r="M19" s="15" t="s">
        <v>84</v>
      </c>
      <c r="N19" s="15"/>
      <c r="O19" s="33" t="s">
        <v>264</v>
      </c>
      <c r="Q19" s="107"/>
    </row>
    <row r="20" spans="1:17" x14ac:dyDescent="0.25">
      <c r="A20" s="15" t="s">
        <v>187</v>
      </c>
      <c r="B20" s="15" t="s">
        <v>458</v>
      </c>
      <c r="C20" s="15">
        <v>43331363650</v>
      </c>
      <c r="D20" s="23">
        <v>160000</v>
      </c>
      <c r="E20" s="15" t="s">
        <v>66</v>
      </c>
      <c r="F20" s="15" t="s">
        <v>281</v>
      </c>
      <c r="G20" s="15" t="s">
        <v>243</v>
      </c>
      <c r="H20" s="15" t="s">
        <v>283</v>
      </c>
      <c r="I20" s="15" t="s">
        <v>398</v>
      </c>
      <c r="J20" s="15">
        <v>50</v>
      </c>
      <c r="K20" s="24" t="s">
        <v>246</v>
      </c>
      <c r="L20" s="15" t="s">
        <v>293</v>
      </c>
      <c r="M20" s="15" t="s">
        <v>91</v>
      </c>
      <c r="N20" s="15"/>
      <c r="O20" s="33" t="s">
        <v>266</v>
      </c>
      <c r="Q20" s="107"/>
    </row>
    <row r="21" spans="1:17" x14ac:dyDescent="0.25">
      <c r="A21" s="15" t="s">
        <v>493</v>
      </c>
      <c r="B21" s="15" t="s">
        <v>494</v>
      </c>
      <c r="C21" s="15">
        <v>44587511571</v>
      </c>
      <c r="D21" s="23">
        <v>150000</v>
      </c>
      <c r="E21" s="15" t="s">
        <v>283</v>
      </c>
      <c r="F21" s="15" t="s">
        <v>294</v>
      </c>
      <c r="G21" s="15" t="s">
        <v>241</v>
      </c>
      <c r="H21" s="15" t="s">
        <v>296</v>
      </c>
      <c r="I21" s="15" t="s">
        <v>283</v>
      </c>
      <c r="J21" s="15">
        <v>40</v>
      </c>
      <c r="K21" s="24" t="s">
        <v>241</v>
      </c>
      <c r="L21" s="15">
        <v>0</v>
      </c>
      <c r="M21" s="15" t="e">
        <v>#N/A</v>
      </c>
      <c r="N21" s="15"/>
      <c r="O21" s="33" t="s">
        <v>265</v>
      </c>
      <c r="Q21" s="107"/>
    </row>
    <row r="22" spans="1:17" x14ac:dyDescent="0.25">
      <c r="A22" s="15" t="s">
        <v>90</v>
      </c>
      <c r="B22" s="15" t="s">
        <v>425</v>
      </c>
      <c r="C22" s="15">
        <v>39641354272</v>
      </c>
      <c r="D22" s="23">
        <v>150000</v>
      </c>
      <c r="E22" s="15" t="s">
        <v>68</v>
      </c>
      <c r="F22" s="15" t="s">
        <v>282</v>
      </c>
      <c r="G22" s="15" t="s">
        <v>241</v>
      </c>
      <c r="H22" s="15" t="s">
        <v>256</v>
      </c>
      <c r="I22" s="15" t="s">
        <v>397</v>
      </c>
      <c r="J22" s="15">
        <v>60</v>
      </c>
      <c r="K22" s="24" t="s">
        <v>265</v>
      </c>
      <c r="L22" s="15" t="s">
        <v>293</v>
      </c>
      <c r="M22" s="15" t="s">
        <v>90</v>
      </c>
      <c r="N22" s="15"/>
      <c r="O22" s="33" t="s">
        <v>265</v>
      </c>
      <c r="Q22" s="107"/>
    </row>
    <row r="23" spans="1:17" x14ac:dyDescent="0.25">
      <c r="A23" s="15" t="s">
        <v>409</v>
      </c>
      <c r="B23" s="15" t="s">
        <v>426</v>
      </c>
      <c r="C23" s="15">
        <v>39349131090</v>
      </c>
      <c r="D23" s="23">
        <v>150000</v>
      </c>
      <c r="E23" s="15" t="s">
        <v>62</v>
      </c>
      <c r="F23" s="15" t="s">
        <v>294</v>
      </c>
      <c r="G23" s="15" t="s">
        <v>241</v>
      </c>
      <c r="H23" s="15" t="s">
        <v>283</v>
      </c>
      <c r="I23" s="15" t="s">
        <v>303</v>
      </c>
      <c r="J23" s="15">
        <v>50</v>
      </c>
      <c r="K23" s="24" t="s">
        <v>241</v>
      </c>
      <c r="L23" s="15" t="s">
        <v>293</v>
      </c>
      <c r="M23" s="15" t="s">
        <v>409</v>
      </c>
      <c r="N23" s="15"/>
      <c r="O23" s="33" t="s">
        <v>265</v>
      </c>
      <c r="Q23" s="107"/>
    </row>
    <row r="24" spans="1:17" x14ac:dyDescent="0.25">
      <c r="A24" s="15" t="s">
        <v>143</v>
      </c>
      <c r="B24" s="15" t="s">
        <v>528</v>
      </c>
      <c r="C24" s="15">
        <v>45429630883</v>
      </c>
      <c r="D24" s="23">
        <v>144000</v>
      </c>
      <c r="E24" s="15" t="s">
        <v>66</v>
      </c>
      <c r="F24" s="15" t="s">
        <v>282</v>
      </c>
      <c r="G24" s="15" t="s">
        <v>238</v>
      </c>
      <c r="H24" s="15" t="s">
        <v>296</v>
      </c>
      <c r="I24" s="15" t="s">
        <v>398</v>
      </c>
      <c r="J24" s="15">
        <v>40</v>
      </c>
      <c r="K24" s="24" t="s">
        <v>240</v>
      </c>
      <c r="L24" s="15">
        <v>0</v>
      </c>
      <c r="M24" s="15" t="s">
        <v>73</v>
      </c>
      <c r="N24" s="15"/>
      <c r="O24" s="33" t="s">
        <v>264</v>
      </c>
      <c r="Q24" s="107"/>
    </row>
    <row r="25" spans="1:17" x14ac:dyDescent="0.25">
      <c r="A25" s="15" t="s">
        <v>461</v>
      </c>
      <c r="B25" s="15" t="s">
        <v>462</v>
      </c>
      <c r="C25" s="15">
        <v>43156849003</v>
      </c>
      <c r="D25" s="23">
        <v>123637</v>
      </c>
      <c r="E25" s="15" t="s">
        <v>66</v>
      </c>
      <c r="F25" s="15" t="s">
        <v>294</v>
      </c>
      <c r="G25" s="15" t="s">
        <v>241</v>
      </c>
      <c r="H25" s="15" t="s">
        <v>295</v>
      </c>
      <c r="I25" s="15" t="s">
        <v>398</v>
      </c>
      <c r="J25" s="15">
        <v>40</v>
      </c>
      <c r="K25" s="24" t="s">
        <v>265</v>
      </c>
      <c r="L25" s="15">
        <v>0</v>
      </c>
      <c r="M25" s="15" t="s">
        <v>463</v>
      </c>
      <c r="N25" s="15"/>
      <c r="O25" s="33" t="s">
        <v>265</v>
      </c>
      <c r="Q25" s="107"/>
    </row>
    <row r="26" spans="1:17" x14ac:dyDescent="0.25">
      <c r="A26" s="15" t="s">
        <v>480</v>
      </c>
      <c r="B26" s="15" t="s">
        <v>481</v>
      </c>
      <c r="C26" s="15">
        <v>43827262994</v>
      </c>
      <c r="D26" s="23">
        <v>120000</v>
      </c>
      <c r="E26" s="15" t="s">
        <v>517</v>
      </c>
      <c r="F26" s="15" t="s">
        <v>281</v>
      </c>
      <c r="G26" s="15" t="s">
        <v>243</v>
      </c>
      <c r="H26" s="15" t="s">
        <v>7</v>
      </c>
      <c r="I26" s="15" t="s">
        <v>284</v>
      </c>
      <c r="J26" s="15">
        <v>50</v>
      </c>
      <c r="K26" s="24" t="s">
        <v>246</v>
      </c>
      <c r="L26" s="15" t="s">
        <v>293</v>
      </c>
      <c r="M26" s="15" t="s">
        <v>480</v>
      </c>
      <c r="N26" s="15"/>
      <c r="O26" s="33" t="s">
        <v>266</v>
      </c>
      <c r="Q26" s="107"/>
    </row>
    <row r="27" spans="1:17" x14ac:dyDescent="0.25">
      <c r="A27" s="15" t="s">
        <v>75</v>
      </c>
      <c r="B27" s="15" t="s">
        <v>427</v>
      </c>
      <c r="C27" s="15">
        <v>39599219497</v>
      </c>
      <c r="D27" s="23">
        <v>120000</v>
      </c>
      <c r="E27" s="15" t="s">
        <v>62</v>
      </c>
      <c r="F27" s="15" t="s">
        <v>282</v>
      </c>
      <c r="G27" s="15" t="s">
        <v>243</v>
      </c>
      <c r="H27" s="15" t="s">
        <v>7</v>
      </c>
      <c r="I27" s="15" t="s">
        <v>399</v>
      </c>
      <c r="J27" s="15">
        <v>50</v>
      </c>
      <c r="K27" s="24" t="s">
        <v>246</v>
      </c>
      <c r="L27" s="15" t="s">
        <v>293</v>
      </c>
      <c r="M27" s="15" t="s">
        <v>75</v>
      </c>
      <c r="N27" s="15"/>
      <c r="O27" s="33" t="s">
        <v>266</v>
      </c>
      <c r="Q27" s="107"/>
    </row>
    <row r="28" spans="1:17" x14ac:dyDescent="0.25">
      <c r="A28" s="15" t="s">
        <v>377</v>
      </c>
      <c r="B28" s="15" t="s">
        <v>378</v>
      </c>
      <c r="C28" s="15">
        <v>30401713813</v>
      </c>
      <c r="D28" s="23">
        <v>104600</v>
      </c>
      <c r="E28" s="15" t="s">
        <v>66</v>
      </c>
      <c r="F28" s="15" t="s">
        <v>294</v>
      </c>
      <c r="G28" s="15" t="s">
        <v>238</v>
      </c>
      <c r="H28" s="15" t="s">
        <v>283</v>
      </c>
      <c r="I28" s="15" t="s">
        <v>255</v>
      </c>
      <c r="J28" s="15">
        <v>40</v>
      </c>
      <c r="K28" s="24" t="s">
        <v>239</v>
      </c>
      <c r="L28" s="15" t="s">
        <v>292</v>
      </c>
      <c r="M28" s="15" t="s">
        <v>377</v>
      </c>
      <c r="N28" s="15"/>
      <c r="O28" s="33" t="s">
        <v>264</v>
      </c>
      <c r="Q28" s="107"/>
    </row>
    <row r="29" spans="1:17" x14ac:dyDescent="0.25">
      <c r="A29" s="15" t="s">
        <v>518</v>
      </c>
      <c r="B29" s="15" t="s">
        <v>519</v>
      </c>
      <c r="C29" s="15">
        <v>44951635726</v>
      </c>
      <c r="D29" s="23">
        <v>100000</v>
      </c>
      <c r="E29" s="15" t="s">
        <v>62</v>
      </c>
      <c r="F29" s="15" t="s">
        <v>294</v>
      </c>
      <c r="G29" s="15" t="s">
        <v>238</v>
      </c>
      <c r="H29" s="15" t="s">
        <v>7</v>
      </c>
      <c r="I29" s="15" t="s">
        <v>398</v>
      </c>
      <c r="J29" s="15">
        <v>40</v>
      </c>
      <c r="K29" s="24" t="s">
        <v>250</v>
      </c>
      <c r="L29" s="15">
        <v>0</v>
      </c>
      <c r="M29" s="15" t="e">
        <v>#N/A</v>
      </c>
      <c r="N29" s="15"/>
      <c r="O29" s="33" t="s">
        <v>264</v>
      </c>
      <c r="Q29" s="107"/>
    </row>
    <row r="30" spans="1:17" x14ac:dyDescent="0.25">
      <c r="A30" s="15" t="s">
        <v>97</v>
      </c>
      <c r="B30" s="15" t="s">
        <v>464</v>
      </c>
      <c r="C30" s="15">
        <v>43694833500</v>
      </c>
      <c r="D30" s="23">
        <v>100000</v>
      </c>
      <c r="E30" s="15" t="s">
        <v>68</v>
      </c>
      <c r="F30" s="15" t="s">
        <v>282</v>
      </c>
      <c r="G30" s="15" t="s">
        <v>243</v>
      </c>
      <c r="H30" s="15" t="s">
        <v>4</v>
      </c>
      <c r="I30" s="15" t="s">
        <v>397</v>
      </c>
      <c r="J30" s="15">
        <v>70</v>
      </c>
      <c r="K30" s="24" t="s">
        <v>246</v>
      </c>
      <c r="L30" s="15" t="s">
        <v>293</v>
      </c>
      <c r="M30" s="15" t="s">
        <v>97</v>
      </c>
      <c r="N30" s="15"/>
      <c r="O30" s="33" t="s">
        <v>266</v>
      </c>
      <c r="Q30" s="107"/>
    </row>
    <row r="31" spans="1:17" x14ac:dyDescent="0.25">
      <c r="A31" s="15" t="s">
        <v>187</v>
      </c>
      <c r="B31" s="15" t="s">
        <v>436</v>
      </c>
      <c r="C31" s="15">
        <v>40249415206</v>
      </c>
      <c r="D31" s="23">
        <v>100000</v>
      </c>
      <c r="E31" s="15" t="s">
        <v>66</v>
      </c>
      <c r="F31" s="15" t="s">
        <v>294</v>
      </c>
      <c r="G31" s="15" t="s">
        <v>243</v>
      </c>
      <c r="H31" s="15" t="s">
        <v>283</v>
      </c>
      <c r="I31" s="15" t="s">
        <v>303</v>
      </c>
      <c r="J31" s="15">
        <v>40</v>
      </c>
      <c r="K31" s="24" t="s">
        <v>246</v>
      </c>
      <c r="L31" s="15">
        <v>0</v>
      </c>
      <c r="M31" s="15" t="s">
        <v>91</v>
      </c>
      <c r="N31" s="15"/>
      <c r="O31" s="33" t="s">
        <v>266</v>
      </c>
      <c r="Q31" s="107"/>
    </row>
    <row r="32" spans="1:17" x14ac:dyDescent="0.25">
      <c r="A32" s="15" t="s">
        <v>482</v>
      </c>
      <c r="B32" s="15" t="s">
        <v>520</v>
      </c>
      <c r="C32" s="15">
        <v>38393698228</v>
      </c>
      <c r="D32" s="23">
        <v>100000</v>
      </c>
      <c r="E32" s="15" t="s">
        <v>68</v>
      </c>
      <c r="F32" s="15" t="s">
        <v>294</v>
      </c>
      <c r="G32" s="15" t="s">
        <v>243</v>
      </c>
      <c r="H32" s="15" t="s">
        <v>4</v>
      </c>
      <c r="I32" s="15" t="s">
        <v>299</v>
      </c>
      <c r="J32" s="15">
        <v>40</v>
      </c>
      <c r="K32" s="24" t="s">
        <v>246</v>
      </c>
      <c r="L32" s="15" t="s">
        <v>293</v>
      </c>
      <c r="M32" s="15" t="e">
        <v>#N/A</v>
      </c>
      <c r="N32" s="15"/>
      <c r="O32" s="33" t="s">
        <v>266</v>
      </c>
      <c r="Q32" s="107"/>
    </row>
    <row r="33" spans="1:17" x14ac:dyDescent="0.25">
      <c r="A33" s="15" t="s">
        <v>138</v>
      </c>
      <c r="B33" s="15" t="s">
        <v>379</v>
      </c>
      <c r="C33" s="15">
        <v>36059962804</v>
      </c>
      <c r="D33" s="23">
        <v>100000</v>
      </c>
      <c r="E33" s="15" t="s">
        <v>68</v>
      </c>
      <c r="F33" s="15" t="s">
        <v>294</v>
      </c>
      <c r="G33" s="15" t="s">
        <v>238</v>
      </c>
      <c r="H33" s="15" t="s">
        <v>4</v>
      </c>
      <c r="I33" s="15" t="s">
        <v>303</v>
      </c>
      <c r="J33" s="15">
        <v>50</v>
      </c>
      <c r="K33" s="24" t="s">
        <v>250</v>
      </c>
      <c r="L33" s="15" t="s">
        <v>292</v>
      </c>
      <c r="M33" s="15" t="s">
        <v>138</v>
      </c>
      <c r="N33" s="15"/>
      <c r="O33" s="33" t="s">
        <v>264</v>
      </c>
      <c r="Q33" s="107"/>
    </row>
    <row r="34" spans="1:17" x14ac:dyDescent="0.25">
      <c r="A34" s="15" t="s">
        <v>75</v>
      </c>
      <c r="B34" s="15" t="s">
        <v>301</v>
      </c>
      <c r="C34" s="15">
        <v>8720887936</v>
      </c>
      <c r="D34" s="15">
        <v>100000</v>
      </c>
      <c r="E34" s="15" t="s">
        <v>62</v>
      </c>
      <c r="F34" s="15" t="s">
        <v>294</v>
      </c>
      <c r="G34" s="15" t="s">
        <v>243</v>
      </c>
      <c r="H34" s="15" t="s">
        <v>7</v>
      </c>
      <c r="I34" s="15" t="s">
        <v>399</v>
      </c>
      <c r="J34" s="15">
        <v>50</v>
      </c>
      <c r="K34" s="15" t="s">
        <v>246</v>
      </c>
      <c r="L34" s="15" t="s">
        <v>293</v>
      </c>
      <c r="M34" s="15" t="s">
        <v>75</v>
      </c>
      <c r="N34" s="15"/>
      <c r="O34" s="15" t="s">
        <v>266</v>
      </c>
      <c r="Q34" s="107"/>
    </row>
    <row r="35" spans="1:17" x14ac:dyDescent="0.25">
      <c r="A35" s="15" t="s">
        <v>75</v>
      </c>
      <c r="B35" s="15" t="s">
        <v>449</v>
      </c>
      <c r="C35" s="15">
        <v>43156570775</v>
      </c>
      <c r="D35" s="15">
        <v>96000</v>
      </c>
      <c r="E35" s="15" t="s">
        <v>517</v>
      </c>
      <c r="F35" s="15" t="s">
        <v>282</v>
      </c>
      <c r="G35" s="15" t="s">
        <v>243</v>
      </c>
      <c r="H35" s="15" t="s">
        <v>7</v>
      </c>
      <c r="I35" s="15" t="s">
        <v>399</v>
      </c>
      <c r="J35" s="15">
        <v>50</v>
      </c>
      <c r="K35" s="15" t="s">
        <v>246</v>
      </c>
      <c r="L35" s="15" t="s">
        <v>293</v>
      </c>
      <c r="M35" s="15" t="s">
        <v>75</v>
      </c>
      <c r="N35" s="15"/>
      <c r="O35" s="15" t="s">
        <v>266</v>
      </c>
      <c r="Q35" s="107"/>
    </row>
    <row r="36" spans="1:17" x14ac:dyDescent="0.25">
      <c r="A36" s="15" t="s">
        <v>482</v>
      </c>
      <c r="B36" s="15" t="s">
        <v>483</v>
      </c>
      <c r="C36" s="15">
        <v>43827674518</v>
      </c>
      <c r="D36" s="15">
        <v>95000</v>
      </c>
      <c r="E36" s="15" t="s">
        <v>517</v>
      </c>
      <c r="F36" s="15" t="s">
        <v>294</v>
      </c>
      <c r="G36" s="15" t="s">
        <v>241</v>
      </c>
      <c r="H36" s="15" t="s">
        <v>283</v>
      </c>
      <c r="I36" s="15" t="s">
        <v>303</v>
      </c>
      <c r="J36" s="15">
        <v>50</v>
      </c>
      <c r="K36" s="15" t="s">
        <v>241</v>
      </c>
      <c r="L36" s="15" t="s">
        <v>292</v>
      </c>
      <c r="M36" s="15" t="e">
        <v>#N/A</v>
      </c>
      <c r="N36" s="15"/>
      <c r="O36" s="15" t="s">
        <v>265</v>
      </c>
      <c r="Q36" s="107"/>
    </row>
    <row r="37" spans="1:17" x14ac:dyDescent="0.25">
      <c r="A37" s="15" t="s">
        <v>459</v>
      </c>
      <c r="B37" s="15" t="s">
        <v>465</v>
      </c>
      <c r="C37" s="15">
        <v>43660821353</v>
      </c>
      <c r="D37" s="15">
        <v>85000</v>
      </c>
      <c r="E37" s="15" t="s">
        <v>68</v>
      </c>
      <c r="F37" s="15" t="s">
        <v>294</v>
      </c>
      <c r="G37" s="15" t="s">
        <v>241</v>
      </c>
      <c r="H37" s="15" t="s">
        <v>4</v>
      </c>
      <c r="I37" s="15" t="s">
        <v>466</v>
      </c>
      <c r="J37" s="15">
        <v>60</v>
      </c>
      <c r="K37" s="15" t="s">
        <v>265</v>
      </c>
      <c r="L37" s="15" t="s">
        <v>293</v>
      </c>
      <c r="M37" s="15" t="s">
        <v>459</v>
      </c>
      <c r="N37" s="15"/>
      <c r="O37" s="15" t="s">
        <v>265</v>
      </c>
      <c r="Q37" s="107"/>
    </row>
    <row r="38" spans="1:17" x14ac:dyDescent="0.25">
      <c r="A38" s="15" t="s">
        <v>459</v>
      </c>
      <c r="B38" s="15" t="s">
        <v>467</v>
      </c>
      <c r="C38" s="15">
        <v>43694833260</v>
      </c>
      <c r="D38" s="15">
        <v>85000</v>
      </c>
      <c r="E38" s="15" t="s">
        <v>68</v>
      </c>
      <c r="F38" s="15" t="s">
        <v>294</v>
      </c>
      <c r="G38" s="15" t="s">
        <v>241</v>
      </c>
      <c r="H38" s="15" t="s">
        <v>4</v>
      </c>
      <c r="I38" s="15" t="s">
        <v>468</v>
      </c>
      <c r="J38" s="15">
        <v>60</v>
      </c>
      <c r="K38" s="15" t="s">
        <v>265</v>
      </c>
      <c r="L38" s="15" t="s">
        <v>293</v>
      </c>
      <c r="M38" s="15" t="s">
        <v>459</v>
      </c>
      <c r="N38" s="15"/>
      <c r="O38" s="15" t="s">
        <v>265</v>
      </c>
      <c r="Q38" s="107"/>
    </row>
    <row r="39" spans="1:17" x14ac:dyDescent="0.25">
      <c r="A39" s="15" t="s">
        <v>459</v>
      </c>
      <c r="B39" s="15" t="s">
        <v>469</v>
      </c>
      <c r="C39" s="15">
        <v>43713235347</v>
      </c>
      <c r="D39" s="15">
        <v>85000</v>
      </c>
      <c r="E39" s="15" t="s">
        <v>68</v>
      </c>
      <c r="F39" s="15" t="s">
        <v>294</v>
      </c>
      <c r="G39" s="15" t="s">
        <v>241</v>
      </c>
      <c r="H39" s="15" t="s">
        <v>4</v>
      </c>
      <c r="I39" s="15" t="s">
        <v>397</v>
      </c>
      <c r="J39" s="15">
        <v>70</v>
      </c>
      <c r="K39" s="15" t="s">
        <v>265</v>
      </c>
      <c r="L39" s="15" t="s">
        <v>293</v>
      </c>
      <c r="M39" s="15" t="s">
        <v>459</v>
      </c>
      <c r="N39" s="15"/>
      <c r="O39" s="15" t="s">
        <v>265</v>
      </c>
      <c r="Q39" s="107"/>
    </row>
    <row r="40" spans="1:17" x14ac:dyDescent="0.25">
      <c r="A40" s="15" t="s">
        <v>67</v>
      </c>
      <c r="B40" s="15" t="s">
        <v>529</v>
      </c>
      <c r="C40" s="15">
        <v>43098758522</v>
      </c>
      <c r="D40" s="15">
        <v>82000</v>
      </c>
      <c r="E40" s="15" t="s">
        <v>66</v>
      </c>
      <c r="F40" s="15" t="s">
        <v>282</v>
      </c>
      <c r="G40" s="15" t="s">
        <v>238</v>
      </c>
      <c r="H40" s="15" t="s">
        <v>256</v>
      </c>
      <c r="I40" s="15" t="s">
        <v>397</v>
      </c>
      <c r="J40" s="15">
        <v>70</v>
      </c>
      <c r="K40" s="15" t="s">
        <v>530</v>
      </c>
      <c r="L40" s="15" t="s">
        <v>292</v>
      </c>
      <c r="M40" s="15" t="s">
        <v>67</v>
      </c>
      <c r="N40" s="15"/>
      <c r="O40" s="15" t="s">
        <v>264</v>
      </c>
      <c r="Q40" s="107"/>
    </row>
    <row r="41" spans="1:17" x14ac:dyDescent="0.25">
      <c r="A41" s="15" t="s">
        <v>381</v>
      </c>
      <c r="B41" s="15" t="s">
        <v>382</v>
      </c>
      <c r="C41" s="15">
        <v>30401713836</v>
      </c>
      <c r="D41" s="15">
        <v>77000</v>
      </c>
      <c r="E41" s="15" t="s">
        <v>66</v>
      </c>
      <c r="F41" s="15" t="s">
        <v>281</v>
      </c>
      <c r="G41" s="15" t="s">
        <v>238</v>
      </c>
      <c r="H41" s="15" t="s">
        <v>4</v>
      </c>
      <c r="I41" s="15" t="s">
        <v>303</v>
      </c>
      <c r="J41" s="15">
        <v>40</v>
      </c>
      <c r="K41" s="15" t="s">
        <v>253</v>
      </c>
      <c r="L41" s="15" t="s">
        <v>292</v>
      </c>
      <c r="M41" s="15" t="s">
        <v>381</v>
      </c>
      <c r="N41" s="15"/>
      <c r="O41" s="15" t="s">
        <v>264</v>
      </c>
      <c r="Q41" s="107"/>
    </row>
    <row r="42" spans="1:17" x14ac:dyDescent="0.25">
      <c r="A42" s="15" t="s">
        <v>75</v>
      </c>
      <c r="B42" s="15" t="s">
        <v>429</v>
      </c>
      <c r="C42" s="15">
        <v>33145256592</v>
      </c>
      <c r="D42" s="15">
        <v>75000</v>
      </c>
      <c r="E42" s="15" t="s">
        <v>62</v>
      </c>
      <c r="F42" s="15" t="s">
        <v>282</v>
      </c>
      <c r="G42" s="15" t="s">
        <v>243</v>
      </c>
      <c r="H42" s="15" t="s">
        <v>7</v>
      </c>
      <c r="I42" s="15" t="s">
        <v>260</v>
      </c>
      <c r="J42" s="15">
        <v>50</v>
      </c>
      <c r="K42" s="15" t="s">
        <v>246</v>
      </c>
      <c r="L42" s="15" t="s">
        <v>293</v>
      </c>
      <c r="M42" s="15" t="s">
        <v>75</v>
      </c>
      <c r="N42" s="15"/>
      <c r="O42" s="15" t="s">
        <v>266</v>
      </c>
      <c r="Q42" s="107"/>
    </row>
    <row r="43" spans="1:17" x14ac:dyDescent="0.25">
      <c r="A43" s="15" t="s">
        <v>84</v>
      </c>
      <c r="B43" s="15" t="s">
        <v>383</v>
      </c>
      <c r="C43" s="15">
        <v>36142145203</v>
      </c>
      <c r="D43" s="15">
        <v>68886</v>
      </c>
      <c r="E43" s="15" t="s">
        <v>66</v>
      </c>
      <c r="F43" s="15" t="s">
        <v>282</v>
      </c>
      <c r="G43" s="15" t="s">
        <v>238</v>
      </c>
      <c r="H43" s="15" t="s">
        <v>4</v>
      </c>
      <c r="I43" s="15" t="s">
        <v>283</v>
      </c>
      <c r="J43" s="15">
        <v>40</v>
      </c>
      <c r="K43" s="15" t="s">
        <v>258</v>
      </c>
      <c r="L43" s="15" t="s">
        <v>293</v>
      </c>
      <c r="M43" s="15" t="s">
        <v>84</v>
      </c>
      <c r="N43" s="15"/>
      <c r="O43" s="15" t="s">
        <v>264</v>
      </c>
      <c r="Q43" s="107"/>
    </row>
    <row r="44" spans="1:17" x14ac:dyDescent="0.25">
      <c r="A44" s="15" t="s">
        <v>376</v>
      </c>
      <c r="B44" s="15" t="s">
        <v>495</v>
      </c>
      <c r="C44" s="15">
        <v>37238187881</v>
      </c>
      <c r="D44" s="15">
        <v>65000</v>
      </c>
      <c r="E44" s="15" t="s">
        <v>62</v>
      </c>
      <c r="F44" s="15" t="s">
        <v>294</v>
      </c>
      <c r="G44" s="15" t="s">
        <v>241</v>
      </c>
      <c r="H44" s="15" t="s">
        <v>242</v>
      </c>
      <c r="I44" s="15" t="s">
        <v>398</v>
      </c>
      <c r="J44" s="15">
        <v>60</v>
      </c>
      <c r="K44" s="15" t="s">
        <v>265</v>
      </c>
      <c r="L44" s="15" t="s">
        <v>293</v>
      </c>
      <c r="M44" s="15" t="s">
        <v>376</v>
      </c>
      <c r="N44" s="15"/>
      <c r="O44" s="15" t="s">
        <v>265</v>
      </c>
      <c r="Q44" s="107"/>
    </row>
    <row r="45" spans="1:17" x14ac:dyDescent="0.25">
      <c r="A45" s="15" t="s">
        <v>125</v>
      </c>
      <c r="B45" s="15" t="s">
        <v>431</v>
      </c>
      <c r="C45" s="15">
        <v>39599221945</v>
      </c>
      <c r="D45" s="15">
        <v>60000</v>
      </c>
      <c r="E45" s="15" t="s">
        <v>62</v>
      </c>
      <c r="F45" s="15" t="s">
        <v>282</v>
      </c>
      <c r="G45" s="15" t="s">
        <v>243</v>
      </c>
      <c r="H45" s="15" t="s">
        <v>7</v>
      </c>
      <c r="I45" s="15" t="s">
        <v>300</v>
      </c>
      <c r="J45" s="15">
        <v>40</v>
      </c>
      <c r="K45" s="15" t="s">
        <v>246</v>
      </c>
      <c r="L45" s="15" t="s">
        <v>293</v>
      </c>
      <c r="M45" s="15" t="s">
        <v>125</v>
      </c>
      <c r="N45" s="15"/>
      <c r="O45" s="15" t="s">
        <v>266</v>
      </c>
      <c r="Q45" s="107"/>
    </row>
    <row r="46" spans="1:17" x14ac:dyDescent="0.25">
      <c r="A46" s="15" t="s">
        <v>125</v>
      </c>
      <c r="B46" s="15" t="s">
        <v>432</v>
      </c>
      <c r="C46" s="15">
        <v>39599221592</v>
      </c>
      <c r="D46" s="15">
        <v>60000</v>
      </c>
      <c r="E46" s="15" t="s">
        <v>62</v>
      </c>
      <c r="F46" s="15" t="s">
        <v>282</v>
      </c>
      <c r="G46" s="15" t="s">
        <v>243</v>
      </c>
      <c r="H46" s="15" t="s">
        <v>7</v>
      </c>
      <c r="I46" s="15" t="s">
        <v>283</v>
      </c>
      <c r="J46" s="15">
        <v>40</v>
      </c>
      <c r="K46" s="15" t="s">
        <v>246</v>
      </c>
      <c r="L46" s="15" t="s">
        <v>293</v>
      </c>
      <c r="M46" s="15" t="s">
        <v>125</v>
      </c>
      <c r="N46" s="15"/>
      <c r="O46" s="15" t="s">
        <v>266</v>
      </c>
      <c r="Q46" s="107"/>
    </row>
    <row r="47" spans="1:17" x14ac:dyDescent="0.25">
      <c r="A47" s="15" t="s">
        <v>75</v>
      </c>
      <c r="B47" s="15" t="s">
        <v>433</v>
      </c>
      <c r="C47" s="15">
        <v>39599218546</v>
      </c>
      <c r="D47" s="15">
        <v>60000</v>
      </c>
      <c r="E47" s="15" t="s">
        <v>517</v>
      </c>
      <c r="F47" s="15" t="s">
        <v>282</v>
      </c>
      <c r="G47" s="15" t="s">
        <v>243</v>
      </c>
      <c r="H47" s="15" t="s">
        <v>7</v>
      </c>
      <c r="I47" s="15" t="s">
        <v>400</v>
      </c>
      <c r="J47" s="15">
        <v>40</v>
      </c>
      <c r="K47" s="15" t="s">
        <v>246</v>
      </c>
      <c r="L47" s="15" t="s">
        <v>293</v>
      </c>
      <c r="M47" s="15" t="s">
        <v>75</v>
      </c>
      <c r="N47" s="15"/>
      <c r="O47" s="15" t="s">
        <v>266</v>
      </c>
      <c r="Q47" s="107"/>
    </row>
    <row r="48" spans="1:17" x14ac:dyDescent="0.25">
      <c r="A48" s="15" t="s">
        <v>289</v>
      </c>
      <c r="B48" s="15" t="s">
        <v>484</v>
      </c>
      <c r="C48" s="15">
        <v>43840650321</v>
      </c>
      <c r="D48" s="15">
        <v>57600</v>
      </c>
      <c r="E48" s="15" t="s">
        <v>66</v>
      </c>
      <c r="F48" s="15" t="s">
        <v>281</v>
      </c>
      <c r="G48" s="15" t="s">
        <v>241</v>
      </c>
      <c r="H48" s="15" t="s">
        <v>4</v>
      </c>
      <c r="I48" s="15" t="s">
        <v>397</v>
      </c>
      <c r="J48" s="15">
        <v>50</v>
      </c>
      <c r="K48" s="15" t="s">
        <v>265</v>
      </c>
      <c r="L48" s="15" t="s">
        <v>293</v>
      </c>
      <c r="M48" s="15" t="s">
        <v>132</v>
      </c>
      <c r="N48" s="15"/>
      <c r="O48" s="15" t="s">
        <v>265</v>
      </c>
      <c r="Q48" s="107"/>
    </row>
    <row r="49" spans="1:17" x14ac:dyDescent="0.25">
      <c r="A49" s="15" t="s">
        <v>75</v>
      </c>
      <c r="B49" s="15" t="s">
        <v>470</v>
      </c>
      <c r="C49" s="15">
        <v>43702205550</v>
      </c>
      <c r="D49" s="15">
        <v>53000</v>
      </c>
      <c r="E49" s="15" t="s">
        <v>517</v>
      </c>
      <c r="F49" s="15" t="s">
        <v>282</v>
      </c>
      <c r="G49" s="15" t="s">
        <v>243</v>
      </c>
      <c r="H49" s="15" t="s">
        <v>7</v>
      </c>
      <c r="I49" s="15" t="s">
        <v>397</v>
      </c>
      <c r="J49" s="15">
        <v>50</v>
      </c>
      <c r="K49" s="15" t="s">
        <v>246</v>
      </c>
      <c r="L49" s="15" t="s">
        <v>293</v>
      </c>
      <c r="M49" s="15" t="s">
        <v>75</v>
      </c>
      <c r="N49" s="15"/>
      <c r="O49" s="15" t="s">
        <v>266</v>
      </c>
      <c r="Q49" s="107"/>
    </row>
    <row r="50" spans="1:17" x14ac:dyDescent="0.25">
      <c r="A50" s="15" t="s">
        <v>75</v>
      </c>
      <c r="B50" s="15" t="s">
        <v>496</v>
      </c>
      <c r="C50" s="15">
        <v>44675367558</v>
      </c>
      <c r="D50" s="15">
        <v>51000</v>
      </c>
      <c r="E50" s="15" t="s">
        <v>517</v>
      </c>
      <c r="F50" s="15" t="s">
        <v>282</v>
      </c>
      <c r="G50" s="15" t="s">
        <v>243</v>
      </c>
      <c r="H50" s="15" t="s">
        <v>7</v>
      </c>
      <c r="I50" s="15" t="s">
        <v>399</v>
      </c>
      <c r="J50" s="15">
        <v>50</v>
      </c>
      <c r="K50" s="15" t="s">
        <v>246</v>
      </c>
      <c r="L50" s="15" t="s">
        <v>293</v>
      </c>
      <c r="M50" s="15" t="s">
        <v>75</v>
      </c>
      <c r="N50" s="15"/>
      <c r="O50" s="15" t="s">
        <v>266</v>
      </c>
      <c r="Q50" s="107"/>
    </row>
    <row r="51" spans="1:17" x14ac:dyDescent="0.25">
      <c r="A51" s="15" t="s">
        <v>69</v>
      </c>
      <c r="B51" s="15" t="s">
        <v>428</v>
      </c>
      <c r="C51" s="15">
        <v>39641354553</v>
      </c>
      <c r="D51" s="15">
        <v>50000</v>
      </c>
      <c r="E51" s="15" t="s">
        <v>68</v>
      </c>
      <c r="F51" s="15" t="s">
        <v>282</v>
      </c>
      <c r="G51" s="15" t="s">
        <v>241</v>
      </c>
      <c r="H51" s="15" t="s">
        <v>256</v>
      </c>
      <c r="I51" s="15" t="s">
        <v>399</v>
      </c>
      <c r="J51" s="15">
        <v>60</v>
      </c>
      <c r="K51" s="15" t="s">
        <v>265</v>
      </c>
      <c r="L51" s="15" t="s">
        <v>293</v>
      </c>
      <c r="M51" s="15" t="s">
        <v>69</v>
      </c>
      <c r="N51" s="15"/>
      <c r="O51" s="15" t="s">
        <v>265</v>
      </c>
      <c r="Q51" s="107"/>
    </row>
    <row r="52" spans="1:17" x14ac:dyDescent="0.25">
      <c r="A52" s="15" t="s">
        <v>75</v>
      </c>
      <c r="B52" s="15" t="s">
        <v>393</v>
      </c>
      <c r="C52" s="15">
        <v>33419446875</v>
      </c>
      <c r="D52" s="15">
        <v>50000</v>
      </c>
      <c r="E52" s="15" t="s">
        <v>517</v>
      </c>
      <c r="F52" s="15" t="s">
        <v>282</v>
      </c>
      <c r="G52" s="15" t="s">
        <v>243</v>
      </c>
      <c r="H52" s="15" t="s">
        <v>7</v>
      </c>
      <c r="I52" s="15" t="s">
        <v>300</v>
      </c>
      <c r="J52" s="15">
        <v>40</v>
      </c>
      <c r="K52" s="15" t="s">
        <v>246</v>
      </c>
      <c r="L52" s="15" t="s">
        <v>293</v>
      </c>
      <c r="M52" s="15" t="s">
        <v>75</v>
      </c>
      <c r="N52" s="15"/>
      <c r="O52" s="15" t="s">
        <v>266</v>
      </c>
      <c r="Q52" s="107"/>
    </row>
    <row r="53" spans="1:17" x14ac:dyDescent="0.25">
      <c r="A53" s="15" t="s">
        <v>291</v>
      </c>
      <c r="B53" s="15" t="s">
        <v>302</v>
      </c>
      <c r="C53" s="15">
        <v>29895245220</v>
      </c>
      <c r="D53" s="15">
        <v>50000</v>
      </c>
      <c r="E53" s="15" t="s">
        <v>62</v>
      </c>
      <c r="F53" s="15" t="s">
        <v>294</v>
      </c>
      <c r="G53" s="15" t="s">
        <v>238</v>
      </c>
      <c r="H53" s="15" t="s">
        <v>4</v>
      </c>
      <c r="I53" s="15" t="s">
        <v>397</v>
      </c>
      <c r="J53" s="15">
        <v>50</v>
      </c>
      <c r="K53" s="15" t="s">
        <v>250</v>
      </c>
      <c r="L53" s="15" t="s">
        <v>292</v>
      </c>
      <c r="M53" s="15" t="s">
        <v>291</v>
      </c>
      <c r="N53" s="15"/>
      <c r="O53" s="15" t="s">
        <v>264</v>
      </c>
      <c r="Q53" s="107"/>
    </row>
    <row r="54" spans="1:17" x14ac:dyDescent="0.25">
      <c r="A54" s="15" t="s">
        <v>87</v>
      </c>
      <c r="B54" s="15" t="s">
        <v>384</v>
      </c>
      <c r="C54" s="15">
        <v>20950071131</v>
      </c>
      <c r="D54" s="15">
        <v>50000</v>
      </c>
      <c r="E54" s="15" t="s">
        <v>62</v>
      </c>
      <c r="F54" s="15" t="s">
        <v>282</v>
      </c>
      <c r="G54" s="15" t="s">
        <v>241</v>
      </c>
      <c r="H54" s="15" t="s">
        <v>4</v>
      </c>
      <c r="I54" s="15" t="s">
        <v>299</v>
      </c>
      <c r="J54" s="15">
        <v>40</v>
      </c>
      <c r="K54" s="15" t="s">
        <v>241</v>
      </c>
      <c r="L54" s="15">
        <v>0</v>
      </c>
      <c r="M54" s="15" t="s">
        <v>87</v>
      </c>
      <c r="N54" s="15"/>
      <c r="O54" s="15" t="s">
        <v>265</v>
      </c>
      <c r="Q54" s="107"/>
    </row>
    <row r="55" spans="1:17" x14ac:dyDescent="0.25">
      <c r="A55" s="15" t="s">
        <v>376</v>
      </c>
      <c r="B55" s="15" t="s">
        <v>497</v>
      </c>
      <c r="C55" s="15">
        <v>44829124198</v>
      </c>
      <c r="D55" s="15">
        <v>48000</v>
      </c>
      <c r="E55" s="15" t="s">
        <v>517</v>
      </c>
      <c r="F55" s="15" t="s">
        <v>281</v>
      </c>
      <c r="G55" s="15" t="s">
        <v>238</v>
      </c>
      <c r="H55" s="15" t="s">
        <v>7</v>
      </c>
      <c r="I55" s="15" t="s">
        <v>399</v>
      </c>
      <c r="J55" s="15">
        <v>50</v>
      </c>
      <c r="K55" s="15" t="s">
        <v>380</v>
      </c>
      <c r="L55" s="15" t="s">
        <v>297</v>
      </c>
      <c r="M55" s="15" t="s">
        <v>376</v>
      </c>
      <c r="N55" s="15"/>
      <c r="O55" s="15" t="s">
        <v>264</v>
      </c>
      <c r="Q55" s="107"/>
    </row>
    <row r="56" spans="1:17" x14ac:dyDescent="0.25">
      <c r="A56" s="15" t="s">
        <v>480</v>
      </c>
      <c r="B56" s="15" t="s">
        <v>498</v>
      </c>
      <c r="C56" s="15">
        <v>44807341634</v>
      </c>
      <c r="D56" s="15">
        <v>45000</v>
      </c>
      <c r="E56" s="15" t="s">
        <v>517</v>
      </c>
      <c r="F56" s="15" t="s">
        <v>281</v>
      </c>
      <c r="G56" s="15" t="s">
        <v>243</v>
      </c>
      <c r="H56" s="15" t="s">
        <v>7</v>
      </c>
      <c r="I56" s="15" t="s">
        <v>400</v>
      </c>
      <c r="J56" s="15">
        <v>50</v>
      </c>
      <c r="K56" s="15" t="s">
        <v>246</v>
      </c>
      <c r="L56" s="15" t="s">
        <v>293</v>
      </c>
      <c r="M56" s="15" t="s">
        <v>480</v>
      </c>
      <c r="N56" s="15"/>
      <c r="O56" s="15" t="s">
        <v>266</v>
      </c>
      <c r="Q56" s="107"/>
    </row>
    <row r="57" spans="1:17" x14ac:dyDescent="0.25">
      <c r="A57" s="15" t="s">
        <v>125</v>
      </c>
      <c r="B57" s="15" t="s">
        <v>450</v>
      </c>
      <c r="C57" s="15">
        <v>43157558121</v>
      </c>
      <c r="D57" s="15">
        <v>40000</v>
      </c>
      <c r="E57" s="15" t="s">
        <v>517</v>
      </c>
      <c r="F57" s="15" t="s">
        <v>282</v>
      </c>
      <c r="G57" s="15" t="s">
        <v>243</v>
      </c>
      <c r="H57" s="15" t="s">
        <v>7</v>
      </c>
      <c r="I57" s="15" t="s">
        <v>255</v>
      </c>
      <c r="J57" s="15">
        <v>40</v>
      </c>
      <c r="K57" s="15" t="s">
        <v>246</v>
      </c>
      <c r="L57" s="15" t="s">
        <v>293</v>
      </c>
      <c r="M57" s="15" t="s">
        <v>125</v>
      </c>
      <c r="N57" s="15"/>
      <c r="O57" s="15" t="s">
        <v>266</v>
      </c>
      <c r="Q57" s="107"/>
    </row>
    <row r="58" spans="1:17" x14ac:dyDescent="0.25">
      <c r="A58" s="15" t="s">
        <v>96</v>
      </c>
      <c r="B58" s="15" t="s">
        <v>402</v>
      </c>
      <c r="C58" s="15">
        <v>38376407192</v>
      </c>
      <c r="D58" s="15">
        <v>35000</v>
      </c>
      <c r="E58" s="15" t="s">
        <v>68</v>
      </c>
      <c r="F58" s="15" t="s">
        <v>282</v>
      </c>
      <c r="G58" s="15" t="s">
        <v>241</v>
      </c>
      <c r="H58" s="15" t="s">
        <v>4</v>
      </c>
      <c r="I58" s="15" t="s">
        <v>252</v>
      </c>
      <c r="J58" s="15">
        <v>50</v>
      </c>
      <c r="K58" s="15" t="s">
        <v>265</v>
      </c>
      <c r="L58" s="15" t="s">
        <v>293</v>
      </c>
      <c r="M58" s="15" t="s">
        <v>96</v>
      </c>
      <c r="N58" s="15"/>
      <c r="O58" s="15" t="s">
        <v>265</v>
      </c>
      <c r="Q58" s="107"/>
    </row>
    <row r="59" spans="1:17" x14ac:dyDescent="0.25">
      <c r="A59" s="15" t="s">
        <v>75</v>
      </c>
      <c r="B59" s="15" t="s">
        <v>499</v>
      </c>
      <c r="C59" s="15">
        <v>44809680904</v>
      </c>
      <c r="D59" s="15">
        <v>30000</v>
      </c>
      <c r="E59" s="15" t="s">
        <v>517</v>
      </c>
      <c r="F59" s="15" t="s">
        <v>282</v>
      </c>
      <c r="G59" s="15" t="s">
        <v>243</v>
      </c>
      <c r="H59" s="15" t="s">
        <v>7</v>
      </c>
      <c r="I59" s="15" t="s">
        <v>260</v>
      </c>
      <c r="J59" s="15">
        <v>50</v>
      </c>
      <c r="K59" s="15" t="s">
        <v>246</v>
      </c>
      <c r="L59" s="15" t="s">
        <v>293</v>
      </c>
      <c r="M59" s="15" t="s">
        <v>75</v>
      </c>
      <c r="N59" s="15"/>
      <c r="O59" s="15" t="s">
        <v>266</v>
      </c>
      <c r="Q59" s="107"/>
    </row>
    <row r="60" spans="1:17" x14ac:dyDescent="0.25">
      <c r="A60" s="15" t="s">
        <v>146</v>
      </c>
      <c r="B60" s="15" t="s">
        <v>403</v>
      </c>
      <c r="C60" s="15">
        <v>38376345110</v>
      </c>
      <c r="D60" s="15">
        <v>30000</v>
      </c>
      <c r="E60" s="15" t="s">
        <v>68</v>
      </c>
      <c r="F60" s="15" t="s">
        <v>282</v>
      </c>
      <c r="G60" s="15" t="s">
        <v>238</v>
      </c>
      <c r="H60" s="15" t="s">
        <v>256</v>
      </c>
      <c r="I60" s="15" t="s">
        <v>397</v>
      </c>
      <c r="J60" s="15">
        <v>40</v>
      </c>
      <c r="K60" s="15" t="s">
        <v>404</v>
      </c>
      <c r="L60" s="15" t="s">
        <v>293</v>
      </c>
      <c r="M60" s="15" t="s">
        <v>86</v>
      </c>
      <c r="N60" s="15"/>
      <c r="O60" s="15" t="s">
        <v>264</v>
      </c>
      <c r="Q60" s="107"/>
    </row>
    <row r="61" spans="1:17" x14ac:dyDescent="0.25">
      <c r="A61" s="15" t="s">
        <v>101</v>
      </c>
      <c r="B61" s="15" t="s">
        <v>385</v>
      </c>
      <c r="C61" s="15">
        <v>16353687933</v>
      </c>
      <c r="D61" s="15">
        <v>30000</v>
      </c>
      <c r="E61" s="15" t="s">
        <v>68</v>
      </c>
      <c r="F61" s="15" t="s">
        <v>294</v>
      </c>
      <c r="G61" s="15" t="s">
        <v>238</v>
      </c>
      <c r="H61" s="15" t="s">
        <v>7</v>
      </c>
      <c r="I61" s="15" t="s">
        <v>398</v>
      </c>
      <c r="J61" s="15">
        <v>40</v>
      </c>
      <c r="K61" s="15" t="s">
        <v>257</v>
      </c>
      <c r="L61" s="15" t="s">
        <v>296</v>
      </c>
      <c r="M61" s="15" t="s">
        <v>101</v>
      </c>
      <c r="N61" s="15"/>
      <c r="O61" s="15" t="s">
        <v>264</v>
      </c>
      <c r="Q61" s="107"/>
    </row>
    <row r="62" spans="1:17" x14ac:dyDescent="0.25">
      <c r="A62" s="15" t="s">
        <v>405</v>
      </c>
      <c r="B62" s="15" t="s">
        <v>406</v>
      </c>
      <c r="C62" s="15">
        <v>38376406110</v>
      </c>
      <c r="D62" s="15">
        <v>25000</v>
      </c>
      <c r="E62" s="15" t="s">
        <v>68</v>
      </c>
      <c r="F62" s="15" t="s">
        <v>282</v>
      </c>
      <c r="G62" s="15" t="s">
        <v>243</v>
      </c>
      <c r="H62" s="15" t="s">
        <v>4</v>
      </c>
      <c r="I62" s="15" t="s">
        <v>397</v>
      </c>
      <c r="J62" s="15">
        <v>40</v>
      </c>
      <c r="K62" s="15" t="s">
        <v>246</v>
      </c>
      <c r="L62" s="15" t="s">
        <v>293</v>
      </c>
      <c r="M62" s="15" t="s">
        <v>405</v>
      </c>
      <c r="N62" s="15"/>
      <c r="O62" s="15" t="s">
        <v>266</v>
      </c>
      <c r="Q62" s="107"/>
    </row>
    <row r="63" spans="1:17" x14ac:dyDescent="0.25">
      <c r="A63" s="15" t="s">
        <v>75</v>
      </c>
      <c r="B63" s="15" t="s">
        <v>500</v>
      </c>
      <c r="C63" s="15">
        <v>44675367486</v>
      </c>
      <c r="D63" s="15">
        <v>22500</v>
      </c>
      <c r="E63" s="15" t="s">
        <v>517</v>
      </c>
      <c r="F63" s="15" t="s">
        <v>282</v>
      </c>
      <c r="G63" s="15" t="s">
        <v>243</v>
      </c>
      <c r="H63" s="15" t="s">
        <v>7</v>
      </c>
      <c r="I63" s="15" t="s">
        <v>399</v>
      </c>
      <c r="J63" s="15">
        <v>50</v>
      </c>
      <c r="K63" s="15" t="s">
        <v>246</v>
      </c>
      <c r="L63" s="15" t="s">
        <v>293</v>
      </c>
      <c r="M63" s="15" t="s">
        <v>75</v>
      </c>
      <c r="N63" s="15"/>
      <c r="O63" s="15" t="s">
        <v>266</v>
      </c>
      <c r="Q63" s="107"/>
    </row>
    <row r="64" spans="1:17" x14ac:dyDescent="0.25">
      <c r="A64" s="15" t="s">
        <v>75</v>
      </c>
      <c r="B64" s="15" t="s">
        <v>501</v>
      </c>
      <c r="C64" s="15">
        <v>44809680994</v>
      </c>
      <c r="D64" s="15">
        <v>22500</v>
      </c>
      <c r="E64" s="15" t="s">
        <v>517</v>
      </c>
      <c r="F64" s="15" t="s">
        <v>282</v>
      </c>
      <c r="G64" s="15" t="s">
        <v>243</v>
      </c>
      <c r="H64" s="15" t="s">
        <v>7</v>
      </c>
      <c r="I64" s="15" t="s">
        <v>399</v>
      </c>
      <c r="J64" s="15">
        <v>50</v>
      </c>
      <c r="K64" s="15" t="s">
        <v>246</v>
      </c>
      <c r="L64" s="15" t="s">
        <v>293</v>
      </c>
      <c r="M64" s="15" t="s">
        <v>75</v>
      </c>
      <c r="N64" s="15"/>
      <c r="O64" s="15" t="s">
        <v>266</v>
      </c>
      <c r="Q64" s="107"/>
    </row>
    <row r="65" spans="1:17" x14ac:dyDescent="0.25">
      <c r="A65" s="15" t="s">
        <v>65</v>
      </c>
      <c r="B65" s="15" t="s">
        <v>451</v>
      </c>
      <c r="C65" s="15">
        <v>43108622087</v>
      </c>
      <c r="D65" s="15">
        <v>22400</v>
      </c>
      <c r="E65" s="15" t="s">
        <v>62</v>
      </c>
      <c r="F65" s="15" t="s">
        <v>282</v>
      </c>
      <c r="G65" s="15" t="s">
        <v>241</v>
      </c>
      <c r="H65" s="15" t="s">
        <v>283</v>
      </c>
      <c r="I65" s="15" t="s">
        <v>303</v>
      </c>
      <c r="J65" s="15">
        <v>70</v>
      </c>
      <c r="K65" s="15" t="s">
        <v>241</v>
      </c>
      <c r="L65" s="15" t="s">
        <v>293</v>
      </c>
      <c r="M65" s="15" t="s">
        <v>65</v>
      </c>
      <c r="N65" s="15"/>
      <c r="O65" s="15" t="s">
        <v>265</v>
      </c>
      <c r="Q65" s="107"/>
    </row>
    <row r="66" spans="1:17" x14ac:dyDescent="0.25">
      <c r="A66" s="15" t="s">
        <v>65</v>
      </c>
      <c r="B66" s="15" t="s">
        <v>502</v>
      </c>
      <c r="C66" s="15">
        <v>44081517137</v>
      </c>
      <c r="D66" s="15">
        <v>20000</v>
      </c>
      <c r="E66" s="15" t="s">
        <v>517</v>
      </c>
      <c r="F66" s="15" t="s">
        <v>281</v>
      </c>
      <c r="G66" s="15" t="s">
        <v>243</v>
      </c>
      <c r="H66" s="15" t="s">
        <v>4</v>
      </c>
      <c r="I66" s="15" t="s">
        <v>284</v>
      </c>
      <c r="J66" s="15">
        <v>60</v>
      </c>
      <c r="K66" s="15" t="s">
        <v>246</v>
      </c>
      <c r="L66" s="15" t="s">
        <v>293</v>
      </c>
      <c r="M66" s="15" t="s">
        <v>65</v>
      </c>
      <c r="N66" s="15"/>
      <c r="O66" s="15" t="s">
        <v>266</v>
      </c>
      <c r="Q66" s="107"/>
    </row>
    <row r="67" spans="1:17" x14ac:dyDescent="0.25">
      <c r="A67" s="15" t="s">
        <v>435</v>
      </c>
      <c r="B67" s="15" t="s">
        <v>442</v>
      </c>
      <c r="C67" s="15">
        <v>41433349682</v>
      </c>
      <c r="D67" s="15">
        <v>20000</v>
      </c>
      <c r="E67" s="15" t="s">
        <v>517</v>
      </c>
      <c r="F67" s="15" t="s">
        <v>282</v>
      </c>
      <c r="G67" s="15" t="s">
        <v>243</v>
      </c>
      <c r="H67" s="15" t="s">
        <v>4</v>
      </c>
      <c r="I67" s="15" t="s">
        <v>284</v>
      </c>
      <c r="J67" s="15">
        <v>50</v>
      </c>
      <c r="K67" s="15" t="s">
        <v>246</v>
      </c>
      <c r="L67" s="15" t="s">
        <v>293</v>
      </c>
      <c r="M67" s="15" t="s">
        <v>119</v>
      </c>
      <c r="N67" s="15"/>
      <c r="O67" s="15" t="s">
        <v>266</v>
      </c>
      <c r="Q67" s="107"/>
    </row>
    <row r="68" spans="1:17" x14ac:dyDescent="0.25">
      <c r="A68" s="15" t="s">
        <v>147</v>
      </c>
      <c r="B68" s="15" t="s">
        <v>503</v>
      </c>
      <c r="C68" s="15">
        <v>44194828379</v>
      </c>
      <c r="D68" s="15">
        <v>17640</v>
      </c>
      <c r="E68" s="15" t="s">
        <v>62</v>
      </c>
      <c r="F68" s="15" t="s">
        <v>282</v>
      </c>
      <c r="G68" s="15" t="s">
        <v>238</v>
      </c>
      <c r="H68" s="15" t="s">
        <v>248</v>
      </c>
      <c r="I68" s="15" t="s">
        <v>401</v>
      </c>
      <c r="J68" s="15">
        <v>70</v>
      </c>
      <c r="K68" s="15" t="s">
        <v>249</v>
      </c>
      <c r="L68" s="15" t="s">
        <v>292</v>
      </c>
      <c r="M68" s="15" t="s">
        <v>8</v>
      </c>
      <c r="N68" s="15"/>
      <c r="O68" s="15" t="s">
        <v>264</v>
      </c>
      <c r="Q68" s="107"/>
    </row>
    <row r="69" spans="1:17" x14ac:dyDescent="0.25">
      <c r="A69" s="15" t="s">
        <v>480</v>
      </c>
      <c r="B69" s="15" t="s">
        <v>504</v>
      </c>
      <c r="C69" s="15">
        <v>44788735140</v>
      </c>
      <c r="D69" s="15">
        <v>17000</v>
      </c>
      <c r="E69" s="15" t="s">
        <v>517</v>
      </c>
      <c r="F69" s="15" t="s">
        <v>281</v>
      </c>
      <c r="G69" s="15" t="s">
        <v>243</v>
      </c>
      <c r="H69" s="15" t="s">
        <v>7</v>
      </c>
      <c r="I69" s="15" t="s">
        <v>505</v>
      </c>
      <c r="J69" s="15">
        <v>50</v>
      </c>
      <c r="K69" s="15" t="s">
        <v>246</v>
      </c>
      <c r="L69" s="15" t="s">
        <v>293</v>
      </c>
      <c r="M69" s="15" t="s">
        <v>480</v>
      </c>
      <c r="N69" s="15"/>
      <c r="O69" s="15" t="s">
        <v>266</v>
      </c>
      <c r="Q69" s="107"/>
    </row>
    <row r="70" spans="1:17" x14ac:dyDescent="0.25">
      <c r="A70" s="15" t="s">
        <v>480</v>
      </c>
      <c r="B70" s="15" t="s">
        <v>506</v>
      </c>
      <c r="C70" s="15">
        <v>44811378692</v>
      </c>
      <c r="D70" s="15">
        <v>15000</v>
      </c>
      <c r="E70" s="15" t="s">
        <v>517</v>
      </c>
      <c r="F70" s="15" t="s">
        <v>281</v>
      </c>
      <c r="G70" s="15" t="s">
        <v>243</v>
      </c>
      <c r="H70" s="15" t="s">
        <v>7</v>
      </c>
      <c r="I70" s="15" t="s">
        <v>397</v>
      </c>
      <c r="J70" s="15">
        <v>50</v>
      </c>
      <c r="K70" s="15" t="s">
        <v>246</v>
      </c>
      <c r="L70" s="15" t="s">
        <v>293</v>
      </c>
      <c r="M70" s="15" t="s">
        <v>480</v>
      </c>
      <c r="N70" s="15"/>
      <c r="O70" s="15" t="s">
        <v>266</v>
      </c>
      <c r="Q70" s="107"/>
    </row>
    <row r="71" spans="1:17" x14ac:dyDescent="0.25">
      <c r="A71" s="15" t="s">
        <v>65</v>
      </c>
      <c r="B71" s="15" t="s">
        <v>507</v>
      </c>
      <c r="C71" s="15">
        <v>44576844630</v>
      </c>
      <c r="D71" s="15">
        <v>10400</v>
      </c>
      <c r="E71" s="15" t="s">
        <v>517</v>
      </c>
      <c r="F71" s="15" t="s">
        <v>281</v>
      </c>
      <c r="G71" s="15" t="s">
        <v>243</v>
      </c>
      <c r="H71" s="15" t="s">
        <v>283</v>
      </c>
      <c r="I71" s="15" t="s">
        <v>401</v>
      </c>
      <c r="J71" s="15">
        <v>40</v>
      </c>
      <c r="K71" s="15" t="s">
        <v>246</v>
      </c>
      <c r="L71" s="15">
        <v>0</v>
      </c>
      <c r="M71" s="15" t="s">
        <v>65</v>
      </c>
      <c r="N71" s="15"/>
      <c r="O71" s="15" t="s">
        <v>266</v>
      </c>
      <c r="Q71" s="107"/>
    </row>
    <row r="72" spans="1:17" x14ac:dyDescent="0.25">
      <c r="A72" s="15" t="s">
        <v>435</v>
      </c>
      <c r="B72" s="15" t="s">
        <v>443</v>
      </c>
      <c r="C72" s="15">
        <v>41348655536</v>
      </c>
      <c r="D72" s="15">
        <v>10000</v>
      </c>
      <c r="E72" s="15" t="s">
        <v>517</v>
      </c>
      <c r="F72" s="15" t="s">
        <v>282</v>
      </c>
      <c r="G72" s="15" t="s">
        <v>243</v>
      </c>
      <c r="H72" s="15" t="s">
        <v>4</v>
      </c>
      <c r="I72" s="15" t="s">
        <v>254</v>
      </c>
      <c r="J72" s="15">
        <v>50</v>
      </c>
      <c r="K72" s="15" t="s">
        <v>246</v>
      </c>
      <c r="L72" s="15" t="s">
        <v>293</v>
      </c>
      <c r="M72" s="15" t="s">
        <v>119</v>
      </c>
      <c r="N72" s="15"/>
      <c r="O72" s="15" t="s">
        <v>266</v>
      </c>
      <c r="Q72" s="107"/>
    </row>
    <row r="73" spans="1:17" x14ac:dyDescent="0.25">
      <c r="A73" s="15" t="s">
        <v>435</v>
      </c>
      <c r="B73" s="15" t="s">
        <v>444</v>
      </c>
      <c r="C73" s="15">
        <v>41429371049</v>
      </c>
      <c r="D73" s="15">
        <v>8000</v>
      </c>
      <c r="E73" s="15" t="s">
        <v>517</v>
      </c>
      <c r="F73" s="15" t="s">
        <v>282</v>
      </c>
      <c r="G73" s="15" t="s">
        <v>243</v>
      </c>
      <c r="H73" s="15" t="s">
        <v>256</v>
      </c>
      <c r="I73" s="15" t="s">
        <v>260</v>
      </c>
      <c r="J73" s="15">
        <v>40</v>
      </c>
      <c r="K73" s="15" t="s">
        <v>246</v>
      </c>
      <c r="L73" s="15">
        <v>0</v>
      </c>
      <c r="M73" s="15" t="s">
        <v>119</v>
      </c>
      <c r="N73" s="15"/>
      <c r="O73" s="15" t="s">
        <v>266</v>
      </c>
      <c r="Q73" s="107"/>
    </row>
    <row r="74" spans="1:17" x14ac:dyDescent="0.25">
      <c r="A74" s="15" t="s">
        <v>82</v>
      </c>
      <c r="B74" s="15" t="s">
        <v>531</v>
      </c>
      <c r="C74" s="15">
        <v>43852795407</v>
      </c>
      <c r="D74" s="15">
        <v>5000</v>
      </c>
      <c r="E74" s="15" t="s">
        <v>66</v>
      </c>
      <c r="F74" s="15" t="s">
        <v>282</v>
      </c>
      <c r="G74" s="15" t="s">
        <v>238</v>
      </c>
      <c r="H74" s="15" t="s">
        <v>283</v>
      </c>
      <c r="I74" s="15" t="s">
        <v>398</v>
      </c>
      <c r="J74" s="15">
        <v>40</v>
      </c>
      <c r="K74" s="15" t="s">
        <v>240</v>
      </c>
      <c r="L74" s="15">
        <v>0</v>
      </c>
      <c r="M74" s="15" t="s">
        <v>82</v>
      </c>
      <c r="N74" s="15"/>
      <c r="O74" s="15" t="s">
        <v>264</v>
      </c>
      <c r="Q74" s="107"/>
    </row>
    <row r="75" spans="1:17" x14ac:dyDescent="0.25">
      <c r="A75" s="15" t="s">
        <v>128</v>
      </c>
      <c r="B75" s="15" t="s">
        <v>532</v>
      </c>
      <c r="C75" s="15">
        <v>43697632647</v>
      </c>
      <c r="D75" s="15">
        <v>5000</v>
      </c>
      <c r="E75" s="15" t="s">
        <v>66</v>
      </c>
      <c r="F75" s="15" t="s">
        <v>282</v>
      </c>
      <c r="G75" s="15" t="s">
        <v>243</v>
      </c>
      <c r="H75" s="15" t="s">
        <v>283</v>
      </c>
      <c r="I75" s="15" t="s">
        <v>398</v>
      </c>
      <c r="J75" s="15">
        <v>40</v>
      </c>
      <c r="K75" s="15" t="s">
        <v>261</v>
      </c>
      <c r="L75" s="15">
        <v>0</v>
      </c>
      <c r="M75" s="15" t="s">
        <v>128</v>
      </c>
      <c r="N75" s="15"/>
      <c r="O75" s="15" t="s">
        <v>266</v>
      </c>
      <c r="Q75" s="107"/>
    </row>
    <row r="76" spans="1:17" x14ac:dyDescent="0.25">
      <c r="A76" s="15" t="s">
        <v>533</v>
      </c>
      <c r="B76" s="15" t="s">
        <v>534</v>
      </c>
      <c r="C76" s="15">
        <v>42657055118</v>
      </c>
      <c r="D76" s="15">
        <v>5000</v>
      </c>
      <c r="E76" s="15" t="s">
        <v>66</v>
      </c>
      <c r="F76" s="15" t="s">
        <v>281</v>
      </c>
      <c r="G76" s="15" t="s">
        <v>243</v>
      </c>
      <c r="H76" s="15" t="s">
        <v>4</v>
      </c>
      <c r="I76" s="15" t="s">
        <v>398</v>
      </c>
      <c r="J76" s="15">
        <v>40</v>
      </c>
      <c r="K76" s="15" t="s">
        <v>246</v>
      </c>
      <c r="L76" s="15">
        <v>0</v>
      </c>
      <c r="M76" s="15" t="s">
        <v>535</v>
      </c>
      <c r="N76" s="15"/>
      <c r="O76" s="15" t="s">
        <v>266</v>
      </c>
      <c r="Q76" s="107"/>
    </row>
    <row r="77" spans="1:17" x14ac:dyDescent="0.25">
      <c r="A77" s="15" t="s">
        <v>471</v>
      </c>
      <c r="B77" s="15" t="s">
        <v>472</v>
      </c>
      <c r="C77" s="15">
        <v>41430296747</v>
      </c>
      <c r="D77" s="15">
        <v>5000</v>
      </c>
      <c r="E77" s="15" t="s">
        <v>66</v>
      </c>
      <c r="F77" s="15" t="s">
        <v>294</v>
      </c>
      <c r="G77" s="15" t="s">
        <v>238</v>
      </c>
      <c r="H77" s="15" t="s">
        <v>283</v>
      </c>
      <c r="I77" s="15" t="s">
        <v>283</v>
      </c>
      <c r="J77" s="15">
        <v>40</v>
      </c>
      <c r="K77" s="15" t="s">
        <v>258</v>
      </c>
      <c r="L77" s="15">
        <v>0</v>
      </c>
      <c r="M77" s="15" t="s">
        <v>389</v>
      </c>
      <c r="N77" s="15"/>
      <c r="O77" s="15" t="s">
        <v>264</v>
      </c>
      <c r="Q77" s="107"/>
    </row>
    <row r="78" spans="1:17" x14ac:dyDescent="0.25">
      <c r="A78" s="15" t="s">
        <v>82</v>
      </c>
      <c r="B78" s="15" t="s">
        <v>394</v>
      </c>
      <c r="C78" s="15">
        <v>37421639961</v>
      </c>
      <c r="D78" s="15">
        <v>5000</v>
      </c>
      <c r="E78" s="15" t="s">
        <v>66</v>
      </c>
      <c r="F78" s="15" t="s">
        <v>282</v>
      </c>
      <c r="G78" s="15" t="s">
        <v>238</v>
      </c>
      <c r="H78" s="15" t="s">
        <v>283</v>
      </c>
      <c r="I78" s="15" t="s">
        <v>398</v>
      </c>
      <c r="J78" s="15">
        <v>40</v>
      </c>
      <c r="K78" s="15" t="s">
        <v>240</v>
      </c>
      <c r="L78" s="15" t="s">
        <v>388</v>
      </c>
      <c r="M78" s="15" t="s">
        <v>82</v>
      </c>
      <c r="N78" s="15"/>
      <c r="O78" s="15" t="s">
        <v>264</v>
      </c>
      <c r="Q78" s="107"/>
    </row>
    <row r="79" spans="1:17" x14ac:dyDescent="0.25">
      <c r="A79" s="15" t="s">
        <v>381</v>
      </c>
      <c r="B79" s="15" t="s">
        <v>392</v>
      </c>
      <c r="C79" s="15">
        <v>36852272538</v>
      </c>
      <c r="D79" s="15">
        <v>5000</v>
      </c>
      <c r="E79" s="15" t="s">
        <v>66</v>
      </c>
      <c r="F79" s="15" t="s">
        <v>294</v>
      </c>
      <c r="G79" s="15" t="s">
        <v>241</v>
      </c>
      <c r="H79" s="15" t="s">
        <v>283</v>
      </c>
      <c r="I79" s="15" t="s">
        <v>303</v>
      </c>
      <c r="J79" s="15">
        <v>40</v>
      </c>
      <c r="K79" s="15" t="s">
        <v>265</v>
      </c>
      <c r="L79" s="15" t="s">
        <v>388</v>
      </c>
      <c r="M79" s="15" t="s">
        <v>381</v>
      </c>
      <c r="N79" s="15"/>
      <c r="O79" s="15" t="s">
        <v>265</v>
      </c>
      <c r="Q79" s="107"/>
    </row>
    <row r="80" spans="1:17" x14ac:dyDescent="0.25">
      <c r="A80" s="15" t="s">
        <v>65</v>
      </c>
      <c r="B80" s="15" t="s">
        <v>430</v>
      </c>
      <c r="C80" s="15">
        <v>39542832954</v>
      </c>
      <c r="D80" s="15">
        <v>1</v>
      </c>
      <c r="E80" s="15" t="s">
        <v>62</v>
      </c>
      <c r="F80" s="15" t="s">
        <v>281</v>
      </c>
      <c r="G80" s="15" t="s">
        <v>241</v>
      </c>
      <c r="H80" s="15" t="s">
        <v>4</v>
      </c>
      <c r="I80" s="15" t="s">
        <v>303</v>
      </c>
      <c r="J80" s="15">
        <v>70</v>
      </c>
      <c r="K80" s="15" t="s">
        <v>265</v>
      </c>
      <c r="L80" s="15" t="s">
        <v>292</v>
      </c>
      <c r="M80" s="15" t="s">
        <v>65</v>
      </c>
      <c r="N80" s="15"/>
      <c r="O80" s="15" t="s">
        <v>265</v>
      </c>
      <c r="Q80" s="107"/>
    </row>
  </sheetData>
  <autoFilter ref="A3:Q80" xr:uid="{577EAFC6-ED39-42C5-9FE0-67A63A6E127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97A0-40A7-4C7C-AF4F-87FB90E21BDB}">
  <sheetPr codeName="Sheet24">
    <tabColor rgb="FFFF9900"/>
  </sheetPr>
  <dimension ref="A1:AN407"/>
  <sheetViews>
    <sheetView zoomScale="75" zoomScaleNormal="75" workbookViewId="0">
      <pane xSplit="8" ySplit="10" topLeftCell="AD11" activePane="bottomRight" state="frozen"/>
      <selection activeCell="E17" sqref="E17"/>
      <selection pane="topRight" activeCell="E17" sqref="E17"/>
      <selection pane="bottomLeft" activeCell="E17" sqref="E17"/>
      <selection pane="bottomRight" activeCell="F14" sqref="F14"/>
    </sheetView>
  </sheetViews>
  <sheetFormatPr defaultColWidth="9.140625" defaultRowHeight="15" x14ac:dyDescent="0.25"/>
  <cols>
    <col min="1" max="1" width="17.5703125" style="10" customWidth="1"/>
    <col min="2" max="2" width="12.42578125" style="38" bestFit="1" customWidth="1"/>
    <col min="3" max="3" width="21.85546875" style="10" customWidth="1"/>
    <col min="4" max="4" width="32.5703125" style="10" customWidth="1"/>
    <col min="5" max="5" width="10" style="38" customWidth="1"/>
    <col min="6" max="6" width="13.140625" style="38" customWidth="1"/>
    <col min="7" max="7" width="15.140625" style="38" bestFit="1" customWidth="1"/>
    <col min="8" max="8" width="13.5703125" style="10" customWidth="1"/>
    <col min="9" max="9" width="12.140625" style="10" customWidth="1"/>
    <col min="10" max="10" width="12.85546875" style="10" customWidth="1"/>
    <col min="11" max="11" width="11.85546875" style="10" customWidth="1"/>
    <col min="12" max="12" width="11.5703125" style="10" customWidth="1"/>
    <col min="13" max="13" width="12.42578125" style="10" customWidth="1"/>
    <col min="14" max="16" width="14.85546875" style="10" customWidth="1"/>
    <col min="17" max="17" width="15.5703125" style="10" customWidth="1"/>
    <col min="18" max="21" width="14" style="10" customWidth="1"/>
    <col min="22" max="22" width="56.5703125" style="10" customWidth="1"/>
    <col min="23" max="23" width="12" style="10" bestFit="1" customWidth="1"/>
    <col min="24" max="24" width="10.42578125" style="10" bestFit="1" customWidth="1"/>
    <col min="25" max="27" width="10.42578125" style="10" customWidth="1"/>
    <col min="28" max="28" width="12.5703125" style="10" bestFit="1" customWidth="1"/>
    <col min="29" max="29" width="10.42578125" style="10" bestFit="1" customWidth="1"/>
    <col min="30" max="30" width="10.42578125" style="10" customWidth="1"/>
    <col min="31" max="31" width="9.140625" style="10"/>
    <col min="32" max="32" width="12.5703125" style="10" bestFit="1" customWidth="1"/>
    <col min="33" max="38" width="9.140625" style="10"/>
    <col min="39" max="39" width="36.5703125" style="10" customWidth="1"/>
    <col min="40" max="16384" width="9.140625" style="10"/>
  </cols>
  <sheetData>
    <row r="1" spans="1:40" x14ac:dyDescent="0.25">
      <c r="I1" s="39"/>
      <c r="O1" s="40"/>
      <c r="P1" s="40"/>
      <c r="Q1" s="40"/>
      <c r="R1" s="40"/>
      <c r="S1" s="40"/>
      <c r="T1" s="40"/>
      <c r="U1" s="40"/>
    </row>
    <row r="2" spans="1:40" ht="30" x14ac:dyDescent="0.25">
      <c r="G2" s="41" t="s">
        <v>324</v>
      </c>
      <c r="H2" s="42"/>
      <c r="I2" s="43"/>
      <c r="J2" s="43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3"/>
      <c r="AE2" s="42"/>
      <c r="AF2" s="42"/>
      <c r="AG2" s="42"/>
      <c r="AH2" s="42"/>
      <c r="AI2" s="42"/>
    </row>
    <row r="3" spans="1:40" x14ac:dyDescent="0.25">
      <c r="G3" s="41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5"/>
      <c r="V3" s="40"/>
      <c r="W3" s="43"/>
    </row>
    <row r="4" spans="1:40" hidden="1" x14ac:dyDescent="0.25">
      <c r="H4" s="45"/>
      <c r="I4" s="46" t="s">
        <v>325</v>
      </c>
      <c r="J4" s="46" t="s">
        <v>325</v>
      </c>
      <c r="K4" s="46" t="s">
        <v>325</v>
      </c>
      <c r="L4" s="46" t="s">
        <v>326</v>
      </c>
      <c r="M4" s="46" t="s">
        <v>326</v>
      </c>
      <c r="N4" s="46" t="s">
        <v>326</v>
      </c>
      <c r="O4" s="46" t="s">
        <v>327</v>
      </c>
      <c r="P4" s="46" t="s">
        <v>327</v>
      </c>
      <c r="Q4" s="46" t="s">
        <v>327</v>
      </c>
      <c r="R4" s="46" t="s">
        <v>328</v>
      </c>
      <c r="S4" s="46" t="s">
        <v>328</v>
      </c>
      <c r="T4" s="46" t="s">
        <v>328</v>
      </c>
      <c r="U4" s="45"/>
      <c r="V4" s="40"/>
      <c r="W4" s="43"/>
    </row>
    <row r="5" spans="1:40" s="47" customFormat="1" hidden="1" x14ac:dyDescent="0.25">
      <c r="E5" s="48"/>
      <c r="F5" s="48"/>
      <c r="G5" s="48"/>
      <c r="I5" s="49">
        <v>45658</v>
      </c>
      <c r="J5" s="49">
        <v>45689</v>
      </c>
      <c r="K5" s="49">
        <v>45717</v>
      </c>
      <c r="L5" s="49">
        <v>45748</v>
      </c>
      <c r="M5" s="49">
        <v>45778</v>
      </c>
      <c r="N5" s="49">
        <v>45809</v>
      </c>
      <c r="O5" s="49">
        <v>45839</v>
      </c>
      <c r="P5" s="49">
        <v>45870</v>
      </c>
      <c r="Q5" s="49">
        <v>45901</v>
      </c>
      <c r="R5" s="49">
        <v>45931</v>
      </c>
      <c r="S5" s="49">
        <v>45962</v>
      </c>
      <c r="T5" s="49">
        <v>45992</v>
      </c>
      <c r="U5" s="50"/>
    </row>
    <row r="6" spans="1:40" s="47" customFormat="1" hidden="1" x14ac:dyDescent="0.25">
      <c r="B6" s="51" t="s">
        <v>219</v>
      </c>
      <c r="C6" s="51" t="s">
        <v>220</v>
      </c>
      <c r="D6" s="51" t="s">
        <v>1</v>
      </c>
      <c r="E6" s="52" t="s">
        <v>0</v>
      </c>
      <c r="F6" s="52" t="s">
        <v>223</v>
      </c>
      <c r="G6" s="53"/>
      <c r="H6" s="54" t="s">
        <v>323</v>
      </c>
      <c r="I6" s="55" t="s">
        <v>221</v>
      </c>
      <c r="J6" s="55" t="s">
        <v>221</v>
      </c>
      <c r="K6" s="55" t="s">
        <v>221</v>
      </c>
      <c r="L6" s="55" t="s">
        <v>221</v>
      </c>
      <c r="M6" s="55" t="s">
        <v>221</v>
      </c>
      <c r="N6" s="55" t="s">
        <v>221</v>
      </c>
      <c r="O6" s="55" t="s">
        <v>221</v>
      </c>
      <c r="P6" s="55" t="s">
        <v>221</v>
      </c>
      <c r="Q6" s="55" t="s">
        <v>221</v>
      </c>
      <c r="R6" s="55" t="s">
        <v>221</v>
      </c>
      <c r="S6" s="55" t="s">
        <v>221</v>
      </c>
      <c r="T6" s="55" t="s">
        <v>221</v>
      </c>
      <c r="U6" s="56"/>
    </row>
    <row r="7" spans="1:40" s="47" customFormat="1" hidden="1" x14ac:dyDescent="0.25">
      <c r="E7" s="48"/>
      <c r="F7" s="48"/>
      <c r="G7" s="48"/>
      <c r="I7" s="47" t="s">
        <v>304</v>
      </c>
      <c r="J7" s="47" t="s">
        <v>305</v>
      </c>
      <c r="K7" s="47" t="s">
        <v>306</v>
      </c>
      <c r="L7" s="47" t="s">
        <v>307</v>
      </c>
      <c r="M7" s="47" t="s">
        <v>308</v>
      </c>
      <c r="N7" s="47" t="s">
        <v>309</v>
      </c>
      <c r="O7" s="47" t="s">
        <v>310</v>
      </c>
      <c r="P7" s="47" t="s">
        <v>311</v>
      </c>
      <c r="Q7" s="47" t="s">
        <v>312</v>
      </c>
      <c r="R7" s="47" t="s">
        <v>313</v>
      </c>
      <c r="S7" s="47" t="s">
        <v>314</v>
      </c>
      <c r="T7" s="47" t="s">
        <v>315</v>
      </c>
    </row>
    <row r="8" spans="1:40" s="47" customFormat="1" ht="45" hidden="1" x14ac:dyDescent="0.25">
      <c r="E8" s="48"/>
      <c r="F8" s="48" t="s">
        <v>329</v>
      </c>
      <c r="G8" s="48"/>
      <c r="I8" s="47" t="s">
        <v>340</v>
      </c>
      <c r="J8" s="47" t="s">
        <v>341</v>
      </c>
      <c r="K8" s="47" t="s">
        <v>342</v>
      </c>
      <c r="L8" s="47" t="s">
        <v>343</v>
      </c>
      <c r="M8" s="47" t="s">
        <v>344</v>
      </c>
      <c r="N8" s="47" t="s">
        <v>345</v>
      </c>
      <c r="O8" s="47" t="s">
        <v>346</v>
      </c>
      <c r="P8" s="47" t="s">
        <v>347</v>
      </c>
      <c r="Q8" s="47" t="s">
        <v>348</v>
      </c>
      <c r="R8" s="47" t="s">
        <v>349</v>
      </c>
      <c r="S8" s="47" t="s">
        <v>350</v>
      </c>
      <c r="T8" s="47" t="s">
        <v>351</v>
      </c>
    </row>
    <row r="9" spans="1:40" s="47" customFormat="1" ht="60" hidden="1" x14ac:dyDescent="0.25">
      <c r="E9" s="48"/>
      <c r="F9" s="48" t="s">
        <v>330</v>
      </c>
      <c r="G9" s="48"/>
      <c r="I9" s="47" t="s">
        <v>340</v>
      </c>
      <c r="J9" s="47" t="s">
        <v>341</v>
      </c>
      <c r="K9" s="47" t="s">
        <v>342</v>
      </c>
      <c r="L9" s="47" t="s">
        <v>343</v>
      </c>
      <c r="M9" s="47" t="s">
        <v>344</v>
      </c>
      <c r="N9" s="47" t="s">
        <v>345</v>
      </c>
      <c r="O9" s="47" t="s">
        <v>346</v>
      </c>
      <c r="P9" s="47" t="s">
        <v>347</v>
      </c>
      <c r="Q9" s="47" t="s">
        <v>348</v>
      </c>
      <c r="R9" s="47" t="s">
        <v>349</v>
      </c>
      <c r="S9" s="47" t="s">
        <v>350</v>
      </c>
      <c r="T9" s="47" t="s">
        <v>351</v>
      </c>
    </row>
    <row r="10" spans="1:40" s="38" customFormat="1" ht="30" x14ac:dyDescent="0.25">
      <c r="B10" s="57" t="s">
        <v>331</v>
      </c>
      <c r="C10" s="57" t="s">
        <v>220</v>
      </c>
      <c r="D10" s="57" t="s">
        <v>1</v>
      </c>
      <c r="E10" s="57" t="s">
        <v>0</v>
      </c>
      <c r="F10" s="57" t="s">
        <v>223</v>
      </c>
      <c r="G10" s="57" t="s">
        <v>332</v>
      </c>
      <c r="H10" s="58" t="s">
        <v>332</v>
      </c>
      <c r="I10" s="59">
        <v>46023</v>
      </c>
      <c r="J10" s="59">
        <v>46054</v>
      </c>
      <c r="K10" s="59">
        <v>46082</v>
      </c>
      <c r="L10" s="59">
        <v>46113</v>
      </c>
      <c r="M10" s="59">
        <v>46143</v>
      </c>
      <c r="N10" s="59">
        <v>46174</v>
      </c>
      <c r="O10" s="59">
        <v>46204</v>
      </c>
      <c r="P10" s="59">
        <v>46235</v>
      </c>
      <c r="Q10" s="59">
        <v>46266</v>
      </c>
      <c r="R10" s="59">
        <v>46296</v>
      </c>
      <c r="S10" s="59">
        <v>46327</v>
      </c>
      <c r="T10" s="59">
        <v>46357</v>
      </c>
      <c r="U10" s="60" t="s">
        <v>333</v>
      </c>
      <c r="V10" s="60" t="s">
        <v>334</v>
      </c>
      <c r="W10" s="38" t="s">
        <v>335</v>
      </c>
      <c r="X10" s="38" t="s">
        <v>336</v>
      </c>
      <c r="Y10" s="38" t="s">
        <v>337</v>
      </c>
      <c r="Z10" s="38" t="s">
        <v>338</v>
      </c>
      <c r="AF10" s="38" t="s">
        <v>325</v>
      </c>
      <c r="AG10" s="38" t="s">
        <v>326</v>
      </c>
      <c r="AH10" s="38" t="s">
        <v>327</v>
      </c>
      <c r="AI10" s="38" t="s">
        <v>328</v>
      </c>
    </row>
    <row r="11" spans="1:40" x14ac:dyDescent="0.25">
      <c r="A11" s="6" t="str">
        <f>IF(IFERROR(VLOOKUP($C11,#REF!,2,0),$C11)="Accion",CONCATENATE(IFERROR(VLOOKUP($C11,#REF!,2,0),$C11)," - ",E11),IFERROR(VLOOKUP($C11,#REF!,2,0),$C11))</f>
        <v>Genfare, LLC</v>
      </c>
      <c r="B11" s="9" t="s">
        <v>577</v>
      </c>
      <c r="C11" s="1" t="s">
        <v>87</v>
      </c>
      <c r="D11" s="1" t="s">
        <v>578</v>
      </c>
      <c r="E11" s="9" t="s">
        <v>62</v>
      </c>
      <c r="F11" s="9" t="s">
        <v>241</v>
      </c>
      <c r="G11" s="9" t="s">
        <v>263</v>
      </c>
      <c r="H11" s="63">
        <v>147499</v>
      </c>
      <c r="I11" s="63">
        <v>0</v>
      </c>
      <c r="J11" s="63">
        <v>-281</v>
      </c>
      <c r="K11" s="63">
        <v>0</v>
      </c>
      <c r="L11" s="63">
        <v>16420</v>
      </c>
      <c r="M11" s="63">
        <v>16420</v>
      </c>
      <c r="N11" s="63">
        <v>16420</v>
      </c>
      <c r="O11" s="63">
        <v>16420</v>
      </c>
      <c r="P11" s="63">
        <v>16420</v>
      </c>
      <c r="Q11" s="63">
        <v>16420</v>
      </c>
      <c r="R11" s="63">
        <v>16420</v>
      </c>
      <c r="S11" s="63">
        <v>16420</v>
      </c>
      <c r="T11" s="63">
        <v>16420</v>
      </c>
      <c r="U11" s="63"/>
      <c r="V11" s="1" t="s">
        <v>939</v>
      </c>
      <c r="W11" s="6"/>
      <c r="X11" s="6">
        <v>1</v>
      </c>
      <c r="Y11" s="6">
        <v>3</v>
      </c>
      <c r="Z11" s="6" t="s">
        <v>339</v>
      </c>
      <c r="AA11" s="6"/>
      <c r="AB11" s="6" t="s">
        <v>577</v>
      </c>
      <c r="AC11" s="6" t="s">
        <v>265</v>
      </c>
      <c r="AD11" s="6"/>
      <c r="AE11" s="6">
        <v>147499</v>
      </c>
      <c r="AF11" s="6">
        <v>-281</v>
      </c>
      <c r="AG11" s="6">
        <v>49260</v>
      </c>
      <c r="AH11" s="6">
        <v>49260</v>
      </c>
      <c r="AI11" s="6">
        <v>49260</v>
      </c>
      <c r="AM11" s="6" t="e">
        <f>_xlfn.XLOOKUP($C11,#REF!,#REF!,"-",0)</f>
        <v>#REF!</v>
      </c>
      <c r="AN11" s="10">
        <f>IF(H11&gt;0,1,IF(H11&lt;0,-1,0))</f>
        <v>1</v>
      </c>
    </row>
    <row r="12" spans="1:40" x14ac:dyDescent="0.25">
      <c r="A12" s="6" t="str">
        <f>IF(IFERROR(VLOOKUP($C12,#REF!,2,0),$C12)="Accion",CONCATENATE(IFERROR(VLOOKUP($C12,#REF!,2,0),$C12)," - ",E12),IFERROR(VLOOKUP($C12,#REF!,2,0),$C12))</f>
        <v>Genfare, LLC</v>
      </c>
      <c r="B12" s="9" t="s">
        <v>587</v>
      </c>
      <c r="C12" s="1" t="s">
        <v>87</v>
      </c>
      <c r="D12" s="1" t="s">
        <v>588</v>
      </c>
      <c r="E12" s="9" t="s">
        <v>62</v>
      </c>
      <c r="F12" s="9" t="s">
        <v>241</v>
      </c>
      <c r="G12" s="9" t="s">
        <v>236</v>
      </c>
      <c r="H12" s="63">
        <v>77220</v>
      </c>
      <c r="I12" s="63">
        <v>0</v>
      </c>
      <c r="J12" s="63">
        <v>0</v>
      </c>
      <c r="K12" s="63">
        <v>0</v>
      </c>
      <c r="L12" s="63">
        <v>8580</v>
      </c>
      <c r="M12" s="63">
        <v>8580</v>
      </c>
      <c r="N12" s="63">
        <v>8580</v>
      </c>
      <c r="O12" s="63">
        <v>8580</v>
      </c>
      <c r="P12" s="63">
        <v>8580</v>
      </c>
      <c r="Q12" s="63">
        <v>8580</v>
      </c>
      <c r="R12" s="63">
        <v>8580</v>
      </c>
      <c r="S12" s="63">
        <v>8580</v>
      </c>
      <c r="T12" s="63">
        <v>8580</v>
      </c>
      <c r="U12" s="63"/>
      <c r="V12" s="1" t="s">
        <v>940</v>
      </c>
      <c r="W12" s="6"/>
      <c r="X12" s="6">
        <v>1</v>
      </c>
      <c r="Y12" s="6">
        <v>1</v>
      </c>
      <c r="Z12" s="6" t="s">
        <v>339</v>
      </c>
      <c r="AA12" s="6"/>
      <c r="AB12" s="6" t="s">
        <v>587</v>
      </c>
      <c r="AC12" s="6" t="s">
        <v>265</v>
      </c>
      <c r="AD12" s="6"/>
      <c r="AE12" s="6">
        <v>77220</v>
      </c>
      <c r="AF12" s="6">
        <v>0</v>
      </c>
      <c r="AG12" s="6">
        <v>25740</v>
      </c>
      <c r="AH12" s="6">
        <v>25740</v>
      </c>
      <c r="AI12" s="6">
        <v>25740</v>
      </c>
      <c r="AM12" s="6" t="e">
        <f>_xlfn.XLOOKUP($C12,#REF!,#REF!,"-",0)</f>
        <v>#REF!</v>
      </c>
      <c r="AN12" s="10">
        <f t="shared" ref="AN12:AN74" si="0">IF(H12&gt;0,1,IF(H12&lt;0,-1,0))</f>
        <v>1</v>
      </c>
    </row>
    <row r="13" spans="1:40" x14ac:dyDescent="0.25">
      <c r="A13" s="6" t="str">
        <f>IF(IFERROR(VLOOKUP($C13,#REF!,2,0),$C13)="Accion",CONCATENATE(IFERROR(VLOOKUP($C13,#REF!,2,0),$C13)," - ",E13),IFERROR(VLOOKUP($C13,#REF!,2,0),$C13))</f>
        <v>Genfare, LLC</v>
      </c>
      <c r="B13" s="30" t="s">
        <v>579</v>
      </c>
      <c r="C13" s="1" t="s">
        <v>87</v>
      </c>
      <c r="D13" s="1" t="s">
        <v>580</v>
      </c>
      <c r="E13" s="9" t="s">
        <v>62</v>
      </c>
      <c r="F13" s="9" t="s">
        <v>241</v>
      </c>
      <c r="G13" s="9" t="s">
        <v>263</v>
      </c>
      <c r="H13" s="63">
        <v>48735</v>
      </c>
      <c r="I13" s="63">
        <v>0</v>
      </c>
      <c r="J13" s="63">
        <v>0</v>
      </c>
      <c r="K13" s="63">
        <v>0</v>
      </c>
      <c r="L13" s="63">
        <v>5415</v>
      </c>
      <c r="M13" s="63">
        <v>5415</v>
      </c>
      <c r="N13" s="63">
        <v>5415</v>
      </c>
      <c r="O13" s="63">
        <v>5415</v>
      </c>
      <c r="P13" s="63">
        <v>5415</v>
      </c>
      <c r="Q13" s="63">
        <v>5415</v>
      </c>
      <c r="R13" s="63">
        <v>5415</v>
      </c>
      <c r="S13" s="63">
        <v>5415</v>
      </c>
      <c r="T13" s="63">
        <v>5415</v>
      </c>
      <c r="U13" s="63"/>
      <c r="V13" s="1" t="s">
        <v>941</v>
      </c>
      <c r="W13" s="6"/>
      <c r="X13" s="6">
        <v>1</v>
      </c>
      <c r="Y13" s="6">
        <v>2</v>
      </c>
      <c r="Z13" s="6" t="s">
        <v>339</v>
      </c>
      <c r="AA13" s="6"/>
      <c r="AB13" s="6" t="s">
        <v>579</v>
      </c>
      <c r="AC13" s="6" t="s">
        <v>265</v>
      </c>
      <c r="AD13" s="6"/>
      <c r="AE13" s="6">
        <v>48735</v>
      </c>
      <c r="AF13" s="6">
        <v>0</v>
      </c>
      <c r="AG13" s="6">
        <v>16245</v>
      </c>
      <c r="AH13" s="6">
        <v>16245</v>
      </c>
      <c r="AI13" s="6">
        <v>16245</v>
      </c>
      <c r="AM13" s="6" t="e">
        <f>_xlfn.XLOOKUP($C13,#REF!,#REF!,"-",0)</f>
        <v>#REF!</v>
      </c>
      <c r="AN13" s="10">
        <f t="shared" si="0"/>
        <v>1</v>
      </c>
    </row>
    <row r="14" spans="1:40" x14ac:dyDescent="0.25">
      <c r="A14" s="6" t="str">
        <f>IF(IFERROR(VLOOKUP($C14,#REF!,2,0),$C14)="Accion",CONCATENATE(IFERROR(VLOOKUP($C14,#REF!,2,0),$C14)," - ",E14),IFERROR(VLOOKUP($C14,#REF!,2,0),$C14))</f>
        <v>World Health Organization.</v>
      </c>
      <c r="B14" s="9" t="s">
        <v>205</v>
      </c>
      <c r="C14" s="1" t="s">
        <v>143</v>
      </c>
      <c r="D14" s="1" t="s">
        <v>5</v>
      </c>
      <c r="E14" s="9" t="s">
        <v>66</v>
      </c>
      <c r="F14" s="9" t="s">
        <v>238</v>
      </c>
      <c r="G14" s="9" t="s">
        <v>263</v>
      </c>
      <c r="H14" s="63">
        <v>45000</v>
      </c>
      <c r="I14" s="63">
        <v>0</v>
      </c>
      <c r="J14" s="63">
        <v>0</v>
      </c>
      <c r="K14" s="63">
        <v>0</v>
      </c>
      <c r="L14" s="63">
        <v>5000</v>
      </c>
      <c r="M14" s="63">
        <v>5000</v>
      </c>
      <c r="N14" s="63">
        <v>5000</v>
      </c>
      <c r="O14" s="63">
        <v>5000</v>
      </c>
      <c r="P14" s="63">
        <v>5000</v>
      </c>
      <c r="Q14" s="63">
        <v>5000</v>
      </c>
      <c r="R14" s="63">
        <v>5000</v>
      </c>
      <c r="S14" s="63">
        <v>5000</v>
      </c>
      <c r="T14" s="63">
        <v>5000</v>
      </c>
      <c r="U14" s="63"/>
      <c r="V14" s="1" t="s">
        <v>942</v>
      </c>
      <c r="W14" s="6"/>
      <c r="X14" s="6">
        <v>1</v>
      </c>
      <c r="Y14" s="6">
        <v>2</v>
      </c>
      <c r="Z14" s="6" t="s">
        <v>339</v>
      </c>
      <c r="AA14" s="6"/>
      <c r="AB14" s="6" t="s">
        <v>205</v>
      </c>
      <c r="AC14" s="6" t="s">
        <v>264</v>
      </c>
      <c r="AD14" s="6"/>
      <c r="AE14" s="6">
        <v>45000</v>
      </c>
      <c r="AF14" s="6">
        <v>0</v>
      </c>
      <c r="AG14" s="6">
        <v>15000</v>
      </c>
      <c r="AH14" s="6">
        <v>15000</v>
      </c>
      <c r="AI14" s="6">
        <v>15000</v>
      </c>
      <c r="AM14" s="6" t="e">
        <f>_xlfn.XLOOKUP($C14,#REF!,#REF!,"-",0)</f>
        <v>#REF!</v>
      </c>
      <c r="AN14" s="10">
        <f t="shared" si="0"/>
        <v>1</v>
      </c>
    </row>
    <row r="15" spans="1:40" x14ac:dyDescent="0.25">
      <c r="A15" s="6" t="str">
        <f>IF(IFERROR(VLOOKUP($C15,#REF!,2,0),$C15)="Accion",CONCATENATE(IFERROR(VLOOKUP($C15,#REF!,2,0),$C15)," - ",E15),IFERROR(VLOOKUP($C15,#REF!,2,0),$C15))</f>
        <v>Genfare, LLC</v>
      </c>
      <c r="B15" s="9" t="s">
        <v>585</v>
      </c>
      <c r="C15" s="1" t="s">
        <v>87</v>
      </c>
      <c r="D15" s="1" t="s">
        <v>586</v>
      </c>
      <c r="E15" s="9" t="s">
        <v>62</v>
      </c>
      <c r="F15" s="9" t="s">
        <v>241</v>
      </c>
      <c r="G15" s="9" t="s">
        <v>263</v>
      </c>
      <c r="H15" s="63">
        <v>40680</v>
      </c>
      <c r="I15" s="63">
        <v>0</v>
      </c>
      <c r="J15" s="63">
        <v>0</v>
      </c>
      <c r="K15" s="63">
        <v>0</v>
      </c>
      <c r="L15" s="63">
        <v>4520</v>
      </c>
      <c r="M15" s="63">
        <v>4520</v>
      </c>
      <c r="N15" s="63">
        <v>4520</v>
      </c>
      <c r="O15" s="63">
        <v>4520</v>
      </c>
      <c r="P15" s="63">
        <v>4520</v>
      </c>
      <c r="Q15" s="63">
        <v>4520</v>
      </c>
      <c r="R15" s="63">
        <v>4520</v>
      </c>
      <c r="S15" s="63">
        <v>4520</v>
      </c>
      <c r="T15" s="63">
        <v>4520</v>
      </c>
      <c r="U15" s="63"/>
      <c r="V15" s="1" t="s">
        <v>943</v>
      </c>
      <c r="W15" s="6"/>
      <c r="X15" s="6">
        <v>1</v>
      </c>
      <c r="Y15" s="6">
        <v>1</v>
      </c>
      <c r="Z15" s="6" t="s">
        <v>339</v>
      </c>
      <c r="AA15" s="6"/>
      <c r="AB15" s="6" t="s">
        <v>585</v>
      </c>
      <c r="AC15" s="6" t="s">
        <v>265</v>
      </c>
      <c r="AD15" s="6"/>
      <c r="AE15" s="6">
        <v>40680</v>
      </c>
      <c r="AF15" s="6">
        <v>0</v>
      </c>
      <c r="AG15" s="6">
        <v>13560</v>
      </c>
      <c r="AH15" s="6">
        <v>13560</v>
      </c>
      <c r="AI15" s="6">
        <v>13560</v>
      </c>
      <c r="AM15" s="6" t="e">
        <f>_xlfn.XLOOKUP($C15,#REF!,#REF!,"-",0)</f>
        <v>#REF!</v>
      </c>
      <c r="AN15" s="10">
        <f t="shared" si="0"/>
        <v>1</v>
      </c>
    </row>
    <row r="16" spans="1:40" x14ac:dyDescent="0.25">
      <c r="A16" s="6" t="str">
        <f>IF(IFERROR(VLOOKUP($C16,#REF!,2,0),$C16)="Accion",CONCATENATE(IFERROR(VLOOKUP($C16,#REF!,2,0),$C16)," - ",E16),IFERROR(VLOOKUP($C16,#REF!,2,0),$C16))</f>
        <v>Genfare, LLC</v>
      </c>
      <c r="B16" s="9" t="s">
        <v>575</v>
      </c>
      <c r="C16" s="1" t="s">
        <v>87</v>
      </c>
      <c r="D16" s="1" t="s">
        <v>576</v>
      </c>
      <c r="E16" s="9" t="s">
        <v>62</v>
      </c>
      <c r="F16" s="9" t="s">
        <v>241</v>
      </c>
      <c r="G16" s="9" t="s">
        <v>263</v>
      </c>
      <c r="H16" s="63">
        <v>40140</v>
      </c>
      <c r="I16" s="63">
        <v>0</v>
      </c>
      <c r="J16" s="63">
        <v>0</v>
      </c>
      <c r="K16" s="63">
        <v>0</v>
      </c>
      <c r="L16" s="63">
        <v>4460</v>
      </c>
      <c r="M16" s="63">
        <v>4460</v>
      </c>
      <c r="N16" s="63">
        <v>4460</v>
      </c>
      <c r="O16" s="63">
        <v>4460</v>
      </c>
      <c r="P16" s="63">
        <v>4460</v>
      </c>
      <c r="Q16" s="63">
        <v>4460</v>
      </c>
      <c r="R16" s="63">
        <v>4460</v>
      </c>
      <c r="S16" s="63">
        <v>4460</v>
      </c>
      <c r="T16" s="63">
        <v>4460</v>
      </c>
      <c r="U16" s="63"/>
      <c r="V16" s="1" t="s">
        <v>944</v>
      </c>
      <c r="W16" s="6"/>
      <c r="X16" s="6">
        <v>1</v>
      </c>
      <c r="Y16" s="103">
        <v>2</v>
      </c>
      <c r="Z16" s="6" t="s">
        <v>339</v>
      </c>
      <c r="AA16" s="6"/>
      <c r="AB16" s="6" t="s">
        <v>575</v>
      </c>
      <c r="AC16" s="6" t="s">
        <v>265</v>
      </c>
      <c r="AD16" s="6"/>
      <c r="AE16" s="6">
        <v>40140</v>
      </c>
      <c r="AF16" s="6">
        <v>0</v>
      </c>
      <c r="AG16" s="6">
        <v>13380</v>
      </c>
      <c r="AH16" s="6">
        <v>13380</v>
      </c>
      <c r="AI16" s="6">
        <v>13380</v>
      </c>
      <c r="AM16" s="6" t="e">
        <f>_xlfn.XLOOKUP($C16,#REF!,#REF!,"-",0)</f>
        <v>#REF!</v>
      </c>
      <c r="AN16" s="10">
        <f t="shared" si="0"/>
        <v>1</v>
      </c>
    </row>
    <row r="17" spans="1:40" x14ac:dyDescent="0.25">
      <c r="A17" s="6" t="str">
        <f>IF(IFERROR(VLOOKUP($C17,#REF!,2,0),$C17)="Accion",CONCATENATE(IFERROR(VLOOKUP($C17,#REF!,2,0),$C17)," - ",E17),IFERROR(VLOOKUP($C17,#REF!,2,0),$C17))</f>
        <v>The OPEC Fund for International Development</v>
      </c>
      <c r="B17" s="9" t="s">
        <v>437</v>
      </c>
      <c r="C17" s="1" t="s">
        <v>438</v>
      </c>
      <c r="D17" s="1" t="s">
        <v>439</v>
      </c>
      <c r="E17" s="9" t="s">
        <v>66</v>
      </c>
      <c r="F17" s="9" t="s">
        <v>238</v>
      </c>
      <c r="G17" s="9" t="s">
        <v>263</v>
      </c>
      <c r="H17" s="63">
        <v>35700</v>
      </c>
      <c r="I17" s="63">
        <v>0</v>
      </c>
      <c r="J17" s="63">
        <v>0</v>
      </c>
      <c r="K17" s="63">
        <v>0</v>
      </c>
      <c r="L17" s="63">
        <v>11900</v>
      </c>
      <c r="M17" s="63">
        <v>11900</v>
      </c>
      <c r="N17" s="63">
        <v>11900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/>
      <c r="V17" s="1" t="s">
        <v>945</v>
      </c>
      <c r="W17" s="6"/>
      <c r="X17" s="6">
        <v>1</v>
      </c>
      <c r="Y17" s="6">
        <v>2</v>
      </c>
      <c r="Z17" s="6" t="s">
        <v>339</v>
      </c>
      <c r="AA17" s="6"/>
      <c r="AB17" s="6" t="s">
        <v>437</v>
      </c>
      <c r="AC17" s="6" t="s">
        <v>264</v>
      </c>
      <c r="AD17" s="6"/>
      <c r="AE17" s="6">
        <v>35700</v>
      </c>
      <c r="AF17" s="6">
        <v>0</v>
      </c>
      <c r="AG17" s="6">
        <v>35700</v>
      </c>
      <c r="AH17" s="6">
        <v>0</v>
      </c>
      <c r="AI17" s="6">
        <v>0</v>
      </c>
      <c r="AM17" s="6" t="e">
        <f>_xlfn.XLOOKUP($C17,#REF!,#REF!,"-",0)</f>
        <v>#REF!</v>
      </c>
      <c r="AN17" s="10">
        <f t="shared" si="0"/>
        <v>1</v>
      </c>
    </row>
    <row r="18" spans="1:40" x14ac:dyDescent="0.25">
      <c r="A18" s="6" t="str">
        <f>IF(IFERROR(VLOOKUP($C18,#REF!,2,0),$C18)="Accion",CONCATENATE(IFERROR(VLOOKUP($C18,#REF!,2,0),$C18)," - ",E18),IFERROR(VLOOKUP($C18,#REF!,2,0),$C18))</f>
        <v>Government Property Agency</v>
      </c>
      <c r="B18" s="9" t="s">
        <v>914</v>
      </c>
      <c r="C18" s="1" t="s">
        <v>170</v>
      </c>
      <c r="D18" s="1" t="s">
        <v>915</v>
      </c>
      <c r="E18" s="9" t="s">
        <v>66</v>
      </c>
      <c r="F18" s="9" t="s">
        <v>238</v>
      </c>
      <c r="G18" s="9" t="s">
        <v>263</v>
      </c>
      <c r="H18" s="63">
        <v>26506.660000000033</v>
      </c>
      <c r="I18" s="63">
        <v>0</v>
      </c>
      <c r="J18" s="63">
        <v>0</v>
      </c>
      <c r="K18" s="63">
        <v>7573.3300000000163</v>
      </c>
      <c r="L18" s="63">
        <v>18933.330000000016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/>
      <c r="V18" s="1" t="s">
        <v>946</v>
      </c>
      <c r="W18" s="6"/>
      <c r="X18" s="6">
        <v>2</v>
      </c>
      <c r="Y18" s="6">
        <v>1</v>
      </c>
      <c r="Z18" s="6" t="s">
        <v>339</v>
      </c>
      <c r="AA18" s="6"/>
      <c r="AB18" s="6" t="s">
        <v>914</v>
      </c>
      <c r="AC18" s="6" t="s">
        <v>264</v>
      </c>
      <c r="AD18" s="6"/>
      <c r="AE18" s="6">
        <v>26506.660000000033</v>
      </c>
      <c r="AF18" s="6">
        <v>7573.3300000000163</v>
      </c>
      <c r="AG18" s="6">
        <v>18933.330000000016</v>
      </c>
      <c r="AH18" s="6">
        <v>0</v>
      </c>
      <c r="AI18" s="6">
        <v>0</v>
      </c>
      <c r="AM18" s="6" t="e">
        <f>_xlfn.XLOOKUP($C18,#REF!,#REF!,"-",0)</f>
        <v>#REF!</v>
      </c>
      <c r="AN18" s="10">
        <f t="shared" si="0"/>
        <v>1</v>
      </c>
    </row>
    <row r="19" spans="1:40" x14ac:dyDescent="0.25">
      <c r="A19" s="6" t="str">
        <f>IF(IFERROR(VLOOKUP($C19,#REF!,2,0),$C19)="Accion",CONCATENATE(IFERROR(VLOOKUP($C19,#REF!,2,0),$C19)," - ",E19),IFERROR(VLOOKUP($C19,#REF!,2,0),$C19))</f>
        <v>Genfare, LLC</v>
      </c>
      <c r="B19" s="9" t="s">
        <v>174</v>
      </c>
      <c r="C19" s="1" t="s">
        <v>87</v>
      </c>
      <c r="D19" s="1" t="s">
        <v>20</v>
      </c>
      <c r="E19" s="9" t="s">
        <v>62</v>
      </c>
      <c r="F19" s="9" t="s">
        <v>241</v>
      </c>
      <c r="G19" s="9" t="s">
        <v>263</v>
      </c>
      <c r="H19" s="63">
        <v>18072</v>
      </c>
      <c r="I19" s="63">
        <v>0</v>
      </c>
      <c r="J19" s="63">
        <v>0</v>
      </c>
      <c r="K19" s="63">
        <v>0</v>
      </c>
      <c r="L19" s="63">
        <v>2008</v>
      </c>
      <c r="M19" s="63">
        <v>2008</v>
      </c>
      <c r="N19" s="63">
        <v>2008</v>
      </c>
      <c r="O19" s="63">
        <v>2008</v>
      </c>
      <c r="P19" s="63">
        <v>2008</v>
      </c>
      <c r="Q19" s="63">
        <v>2008</v>
      </c>
      <c r="R19" s="63">
        <v>2008</v>
      </c>
      <c r="S19" s="63">
        <v>2008</v>
      </c>
      <c r="T19" s="63">
        <v>2008</v>
      </c>
      <c r="U19" s="63"/>
      <c r="V19" s="1" t="s">
        <v>947</v>
      </c>
      <c r="W19" s="6"/>
      <c r="X19" s="6">
        <v>1</v>
      </c>
      <c r="Y19" s="6">
        <v>1</v>
      </c>
      <c r="Z19" s="6" t="s">
        <v>339</v>
      </c>
      <c r="AA19" s="6"/>
      <c r="AB19" s="6" t="s">
        <v>174</v>
      </c>
      <c r="AC19" s="6" t="s">
        <v>265</v>
      </c>
      <c r="AD19" s="6"/>
      <c r="AE19" s="6">
        <v>18072</v>
      </c>
      <c r="AF19" s="6">
        <v>0</v>
      </c>
      <c r="AG19" s="6">
        <v>6024</v>
      </c>
      <c r="AH19" s="6">
        <v>6024</v>
      </c>
      <c r="AI19" s="6">
        <v>6024</v>
      </c>
      <c r="AM19" s="6" t="e">
        <f>_xlfn.XLOOKUP($C19,#REF!,#REF!,"-",0)</f>
        <v>#REF!</v>
      </c>
      <c r="AN19" s="10">
        <f t="shared" si="0"/>
        <v>1</v>
      </c>
    </row>
    <row r="20" spans="1:40" x14ac:dyDescent="0.25">
      <c r="A20" s="6" t="str">
        <f>IF(IFERROR(VLOOKUP($C20,#REF!,2,0),$C20)="Accion",CONCATENATE(IFERROR(VLOOKUP($C20,#REF!,2,0),$C20)," - ",E20),IFERROR(VLOOKUP($C20,#REF!,2,0),$C20))</f>
        <v>Green Climate Fund</v>
      </c>
      <c r="B20" s="9" t="s">
        <v>390</v>
      </c>
      <c r="C20" s="1" t="s">
        <v>128</v>
      </c>
      <c r="D20" s="1" t="s">
        <v>391</v>
      </c>
      <c r="E20" s="9" t="s">
        <v>66</v>
      </c>
      <c r="F20" s="9" t="s">
        <v>238</v>
      </c>
      <c r="G20" s="9" t="s">
        <v>263</v>
      </c>
      <c r="H20" s="63">
        <v>14740</v>
      </c>
      <c r="I20" s="63">
        <v>0</v>
      </c>
      <c r="J20" s="63">
        <v>0</v>
      </c>
      <c r="K20" s="63">
        <v>1540</v>
      </c>
      <c r="L20" s="63">
        <v>4400</v>
      </c>
      <c r="M20" s="63">
        <v>4400</v>
      </c>
      <c r="N20" s="63">
        <v>4400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/>
      <c r="V20" s="1" t="s">
        <v>948</v>
      </c>
      <c r="W20" s="6"/>
      <c r="X20" s="6">
        <v>2</v>
      </c>
      <c r="Y20" s="6">
        <v>1</v>
      </c>
      <c r="Z20" s="6" t="s">
        <v>339</v>
      </c>
      <c r="AA20" s="6"/>
      <c r="AB20" s="6" t="s">
        <v>390</v>
      </c>
      <c r="AC20" s="6" t="s">
        <v>264</v>
      </c>
      <c r="AD20" s="6"/>
      <c r="AE20" s="6">
        <v>14740</v>
      </c>
      <c r="AF20" s="6">
        <v>1540</v>
      </c>
      <c r="AG20" s="6">
        <v>13200</v>
      </c>
      <c r="AH20" s="6">
        <v>0</v>
      </c>
      <c r="AI20" s="6">
        <v>0</v>
      </c>
      <c r="AM20" s="6" t="e">
        <f>_xlfn.XLOOKUP($C20,#REF!,#REF!,"-",0)</f>
        <v>#REF!</v>
      </c>
      <c r="AN20" s="10">
        <f t="shared" si="0"/>
        <v>1</v>
      </c>
    </row>
    <row r="21" spans="1:40" x14ac:dyDescent="0.25">
      <c r="A21" s="6" t="str">
        <f>IF(IFERROR(VLOOKUP($C21,#REF!,2,0),$C21)="Accion",CONCATENATE(IFERROR(VLOOKUP($C21,#REF!,2,0),$C21)," - ",E21),IFERROR(VLOOKUP($C21,#REF!,2,0),$C21))</f>
        <v>Genfare, LLC</v>
      </c>
      <c r="B21" s="9" t="s">
        <v>571</v>
      </c>
      <c r="C21" s="1" t="s">
        <v>87</v>
      </c>
      <c r="D21" s="1" t="s">
        <v>572</v>
      </c>
      <c r="E21" s="9" t="s">
        <v>62</v>
      </c>
      <c r="F21" s="9" t="s">
        <v>241</v>
      </c>
      <c r="G21" s="9" t="s">
        <v>263</v>
      </c>
      <c r="H21" s="63">
        <v>12716</v>
      </c>
      <c r="I21" s="63">
        <v>0</v>
      </c>
      <c r="J21" s="63">
        <v>0</v>
      </c>
      <c r="K21" s="63">
        <v>0</v>
      </c>
      <c r="L21" s="63">
        <v>1850</v>
      </c>
      <c r="M21" s="63">
        <v>-2084</v>
      </c>
      <c r="N21" s="63">
        <v>1850</v>
      </c>
      <c r="O21" s="63">
        <v>1850</v>
      </c>
      <c r="P21" s="63">
        <v>1850</v>
      </c>
      <c r="Q21" s="63">
        <v>1850</v>
      </c>
      <c r="R21" s="63">
        <v>1850</v>
      </c>
      <c r="S21" s="63">
        <v>1850</v>
      </c>
      <c r="T21" s="63">
        <v>1850</v>
      </c>
      <c r="U21" s="63"/>
      <c r="V21" s="1" t="s">
        <v>949</v>
      </c>
      <c r="W21" s="6"/>
      <c r="X21" s="6">
        <v>1</v>
      </c>
      <c r="Y21" s="6">
        <v>1</v>
      </c>
      <c r="Z21" s="6" t="s">
        <v>339</v>
      </c>
      <c r="AA21" s="6"/>
      <c r="AB21" s="6" t="s">
        <v>571</v>
      </c>
      <c r="AC21" s="6" t="s">
        <v>265</v>
      </c>
      <c r="AD21" s="6"/>
      <c r="AE21" s="6">
        <v>12716</v>
      </c>
      <c r="AF21" s="6">
        <v>0</v>
      </c>
      <c r="AG21" s="6">
        <v>1616</v>
      </c>
      <c r="AH21" s="6">
        <v>5550</v>
      </c>
      <c r="AI21" s="6">
        <v>5550</v>
      </c>
      <c r="AM21" s="6" t="e">
        <f>_xlfn.XLOOKUP($C21,#REF!,#REF!,"-",0)</f>
        <v>#REF!</v>
      </c>
      <c r="AN21" s="10">
        <f t="shared" si="0"/>
        <v>1</v>
      </c>
    </row>
    <row r="22" spans="1:40" x14ac:dyDescent="0.25">
      <c r="A22" s="6" t="str">
        <f>IF(IFERROR(VLOOKUP($C22,#REF!,2,0),$C22)="Accion",CONCATENATE(IFERROR(VLOOKUP($C22,#REF!,2,0),$C22)," - ",E22),IFERROR(VLOOKUP($C22,#REF!,2,0),$C22))</f>
        <v>Avalara Technologies Private Limited</v>
      </c>
      <c r="B22" s="9" t="s">
        <v>820</v>
      </c>
      <c r="C22" s="1" t="s">
        <v>492</v>
      </c>
      <c r="D22" s="1" t="s">
        <v>821</v>
      </c>
      <c r="E22" s="9" t="s">
        <v>62</v>
      </c>
      <c r="F22" s="9" t="s">
        <v>243</v>
      </c>
      <c r="G22" s="9" t="s">
        <v>263</v>
      </c>
      <c r="H22" s="63">
        <v>2741.6800000000003</v>
      </c>
      <c r="I22" s="63">
        <v>0</v>
      </c>
      <c r="J22" s="63">
        <v>0</v>
      </c>
      <c r="K22" s="63">
        <v>2741.6800000000003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/>
      <c r="V22" s="1" t="s">
        <v>950</v>
      </c>
      <c r="W22" s="6"/>
      <c r="X22" s="6">
        <v>2</v>
      </c>
      <c r="Y22" s="103"/>
      <c r="Z22" s="6"/>
      <c r="AA22" s="6"/>
      <c r="AB22" s="6" t="s">
        <v>820</v>
      </c>
      <c r="AC22" s="6" t="s">
        <v>266</v>
      </c>
      <c r="AD22" s="6"/>
      <c r="AE22" s="6">
        <v>2741.6800000000003</v>
      </c>
      <c r="AF22" s="6">
        <v>2741.6800000000003</v>
      </c>
      <c r="AG22" s="6">
        <v>0</v>
      </c>
      <c r="AH22" s="6">
        <v>0</v>
      </c>
      <c r="AI22" s="6">
        <v>0</v>
      </c>
      <c r="AM22" s="6" t="e">
        <f>_xlfn.XLOOKUP($C22,#REF!,#REF!,"-",0)</f>
        <v>#REF!</v>
      </c>
      <c r="AN22" s="10">
        <f t="shared" si="0"/>
        <v>1</v>
      </c>
    </row>
    <row r="23" spans="1:40" x14ac:dyDescent="0.25">
      <c r="A23" s="6" t="str">
        <f>IF(IFERROR(VLOOKUP($C23,#REF!,2,0),$C23)="Accion",CONCATENATE(IFERROR(VLOOKUP($C23,#REF!,2,0),$C23)," - ",E23),IFERROR(VLOOKUP($C23,#REF!,2,0),$C23))</f>
        <v>Abbott GmbH</v>
      </c>
      <c r="B23" s="9" t="s">
        <v>593</v>
      </c>
      <c r="C23" s="1" t="s">
        <v>144</v>
      </c>
      <c r="D23" s="1" t="s">
        <v>594</v>
      </c>
      <c r="E23" s="9" t="s">
        <v>62</v>
      </c>
      <c r="F23" s="9" t="s">
        <v>238</v>
      </c>
      <c r="G23" s="9" t="s">
        <v>263</v>
      </c>
      <c r="H23" s="63">
        <v>1624</v>
      </c>
      <c r="I23" s="63">
        <v>1904</v>
      </c>
      <c r="J23" s="63">
        <v>-280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/>
      <c r="V23" s="104" t="s">
        <v>951</v>
      </c>
      <c r="W23" s="6"/>
      <c r="X23" s="6">
        <v>2</v>
      </c>
      <c r="Y23" s="6"/>
      <c r="Z23" s="6"/>
      <c r="AA23" s="6"/>
      <c r="AB23" s="6" t="s">
        <v>593</v>
      </c>
      <c r="AC23" s="6" t="s">
        <v>264</v>
      </c>
      <c r="AD23" s="6"/>
      <c r="AE23" s="6">
        <v>1624</v>
      </c>
      <c r="AF23" s="6">
        <v>1624</v>
      </c>
      <c r="AG23" s="6">
        <v>0</v>
      </c>
      <c r="AH23" s="6">
        <v>0</v>
      </c>
      <c r="AI23" s="6">
        <v>0</v>
      </c>
      <c r="AM23" s="6" t="e">
        <f>_xlfn.XLOOKUP($C23,#REF!,#REF!,"-",0)</f>
        <v>#REF!</v>
      </c>
      <c r="AN23" s="10">
        <f t="shared" si="0"/>
        <v>1</v>
      </c>
    </row>
    <row r="24" spans="1:40" x14ac:dyDescent="0.25">
      <c r="A24" s="6" t="str">
        <f>IF(IFERROR(VLOOKUP($C24,#REF!,2,0),$C24)="Accion",CONCATENATE(IFERROR(VLOOKUP($C24,#REF!,2,0),$C24)," - ",E24),IFERROR(VLOOKUP($C24,#REF!,2,0),$C24))</f>
        <v>CRIF Solutions Private Limited</v>
      </c>
      <c r="B24" s="9" t="s">
        <v>869</v>
      </c>
      <c r="C24" s="1" t="s">
        <v>112</v>
      </c>
      <c r="D24" s="1" t="s">
        <v>870</v>
      </c>
      <c r="E24" s="9" t="s">
        <v>62</v>
      </c>
      <c r="F24" s="9" t="s">
        <v>243</v>
      </c>
      <c r="G24" s="9" t="s">
        <v>263</v>
      </c>
      <c r="H24" s="63">
        <v>1140.5999999999999</v>
      </c>
      <c r="I24" s="63">
        <v>0</v>
      </c>
      <c r="J24" s="63">
        <v>0</v>
      </c>
      <c r="K24" s="63">
        <v>1140.5999999999999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/>
      <c r="V24" s="108" t="s">
        <v>952</v>
      </c>
      <c r="W24" s="6"/>
      <c r="X24" s="6">
        <v>1</v>
      </c>
      <c r="Y24" s="6"/>
      <c r="Z24" s="6"/>
      <c r="AA24" s="6"/>
      <c r="AB24" s="6" t="s">
        <v>869</v>
      </c>
      <c r="AC24" s="6" t="s">
        <v>266</v>
      </c>
      <c r="AD24" s="6"/>
      <c r="AE24" s="6">
        <v>1140.5999999999999</v>
      </c>
      <c r="AF24" s="6">
        <v>1140.5999999999999</v>
      </c>
      <c r="AG24" s="6">
        <v>0</v>
      </c>
      <c r="AH24" s="6">
        <v>0</v>
      </c>
      <c r="AI24" s="6">
        <v>0</v>
      </c>
      <c r="AM24" s="6" t="e">
        <f>_xlfn.XLOOKUP($C24,#REF!,#REF!,"-",0)</f>
        <v>#REF!</v>
      </c>
      <c r="AN24" s="10">
        <f t="shared" si="0"/>
        <v>1</v>
      </c>
    </row>
    <row r="25" spans="1:40" x14ac:dyDescent="0.25">
      <c r="A25" s="6" t="str">
        <f>IF(IFERROR(VLOOKUP($C25,#REF!,2,0),$C25)="Accion",CONCATENATE(IFERROR(VLOOKUP($C25,#REF!,2,0),$C25)," - ",E25),IFERROR(VLOOKUP($C25,#REF!,2,0),$C25))</f>
        <v>Abbott GmbH</v>
      </c>
      <c r="B25" s="9" t="s">
        <v>583</v>
      </c>
      <c r="C25" s="1" t="s">
        <v>144</v>
      </c>
      <c r="D25" s="1" t="s">
        <v>584</v>
      </c>
      <c r="E25" s="9" t="s">
        <v>62</v>
      </c>
      <c r="F25" s="9" t="s">
        <v>238</v>
      </c>
      <c r="G25" s="9" t="s">
        <v>263</v>
      </c>
      <c r="H25" s="63">
        <v>1092</v>
      </c>
      <c r="I25" s="63">
        <v>1092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/>
      <c r="V25" s="1" t="s">
        <v>953</v>
      </c>
      <c r="W25" s="6"/>
      <c r="X25" s="6">
        <v>2</v>
      </c>
      <c r="Y25" s="6"/>
      <c r="Z25" s="6"/>
      <c r="AA25" s="6"/>
      <c r="AB25" s="6" t="s">
        <v>583</v>
      </c>
      <c r="AC25" s="6" t="s">
        <v>264</v>
      </c>
      <c r="AD25" s="6"/>
      <c r="AE25" s="6">
        <v>1092</v>
      </c>
      <c r="AF25" s="6">
        <v>1092</v>
      </c>
      <c r="AG25" s="6">
        <v>0</v>
      </c>
      <c r="AH25" s="6">
        <v>0</v>
      </c>
      <c r="AI25" s="6">
        <v>0</v>
      </c>
      <c r="AM25" s="6" t="e">
        <f>_xlfn.XLOOKUP($C25,#REF!,#REF!,"-",0)</f>
        <v>#REF!</v>
      </c>
      <c r="AN25" s="10">
        <f t="shared" si="0"/>
        <v>1</v>
      </c>
    </row>
    <row r="26" spans="1:40" x14ac:dyDescent="0.25">
      <c r="A26" s="6" t="str">
        <f>IF(IFERROR(VLOOKUP($C26,#REF!,2,0),$C26)="Accion",CONCATENATE(IFERROR(VLOOKUP($C26,#REF!,2,0),$C26)," - ",E26),IFERROR(VLOOKUP($C26,#REF!,2,0),$C26))</f>
        <v>CRIF HIGH MARK CREDIT INFORMATION SERVICES PRIVATE LIMITED</v>
      </c>
      <c r="B26" s="9" t="s">
        <v>545</v>
      </c>
      <c r="C26" s="1" t="s">
        <v>546</v>
      </c>
      <c r="D26" s="1" t="s">
        <v>547</v>
      </c>
      <c r="E26" s="9" t="s">
        <v>62</v>
      </c>
      <c r="F26" s="9" t="s">
        <v>243</v>
      </c>
      <c r="G26" s="9" t="s">
        <v>263</v>
      </c>
      <c r="H26" s="63">
        <v>785.20000000000027</v>
      </c>
      <c r="I26" s="63">
        <v>0</v>
      </c>
      <c r="J26" s="63">
        <v>0</v>
      </c>
      <c r="K26" s="63">
        <v>785.20000000000027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/>
      <c r="V26" s="104" t="s">
        <v>952</v>
      </c>
      <c r="W26" s="6"/>
      <c r="X26" s="6">
        <v>1</v>
      </c>
      <c r="Y26" s="6"/>
      <c r="Z26" s="6"/>
      <c r="AA26" s="6"/>
      <c r="AB26" s="6" t="s">
        <v>545</v>
      </c>
      <c r="AC26" s="6" t="s">
        <v>266</v>
      </c>
      <c r="AD26" s="6"/>
      <c r="AE26" s="6">
        <v>785.20000000000027</v>
      </c>
      <c r="AF26" s="6">
        <v>785.20000000000027</v>
      </c>
      <c r="AG26" s="6">
        <v>0</v>
      </c>
      <c r="AH26" s="6">
        <v>0</v>
      </c>
      <c r="AI26" s="6">
        <v>0</v>
      </c>
      <c r="AM26" s="6" t="e">
        <f>_xlfn.XLOOKUP($C26,#REF!,#REF!,"-",0)</f>
        <v>#REF!</v>
      </c>
      <c r="AN26" s="10">
        <f t="shared" si="0"/>
        <v>1</v>
      </c>
    </row>
    <row r="27" spans="1:40" x14ac:dyDescent="0.25">
      <c r="A27" s="6" t="str">
        <f>IF(IFERROR(VLOOKUP($C27,#REF!,2,0),$C27)="Accion",CONCATENATE(IFERROR(VLOOKUP($C27,#REF!,2,0),$C27)," - ",E27),IFERROR(VLOOKUP($C27,#REF!,2,0),$C27))</f>
        <v>Abbott GmbH</v>
      </c>
      <c r="B27" s="9" t="s">
        <v>581</v>
      </c>
      <c r="C27" s="1" t="s">
        <v>144</v>
      </c>
      <c r="D27" s="1" t="s">
        <v>582</v>
      </c>
      <c r="E27" s="9" t="s">
        <v>62</v>
      </c>
      <c r="F27" s="9" t="s">
        <v>238</v>
      </c>
      <c r="G27" s="9" t="s">
        <v>263</v>
      </c>
      <c r="H27" s="63">
        <v>720</v>
      </c>
      <c r="I27" s="63">
        <v>720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3"/>
      <c r="V27" s="104" t="s">
        <v>953</v>
      </c>
      <c r="W27" s="6"/>
      <c r="X27" s="6">
        <v>2</v>
      </c>
      <c r="Y27" s="6"/>
      <c r="Z27" s="6"/>
      <c r="AA27" s="6"/>
      <c r="AB27" s="6" t="s">
        <v>581</v>
      </c>
      <c r="AC27" s="6" t="s">
        <v>264</v>
      </c>
      <c r="AD27" s="6"/>
      <c r="AE27" s="6">
        <v>720</v>
      </c>
      <c r="AF27" s="6">
        <v>720</v>
      </c>
      <c r="AG27" s="6">
        <v>0</v>
      </c>
      <c r="AH27" s="6">
        <v>0</v>
      </c>
      <c r="AI27" s="6">
        <v>0</v>
      </c>
      <c r="AM27" s="6" t="e">
        <f>_xlfn.XLOOKUP($C27,#REF!,#REF!,"-",0)</f>
        <v>#REF!</v>
      </c>
      <c r="AN27" s="10">
        <f t="shared" si="0"/>
        <v>1</v>
      </c>
    </row>
    <row r="28" spans="1:40" x14ac:dyDescent="0.25">
      <c r="A28" s="6" t="str">
        <f>IF(IFERROR(VLOOKUP($C28,#REF!,2,0),$C28)="Accion",CONCATENATE(IFERROR(VLOOKUP($C28,#REF!,2,0),$C28)," - ",E28),IFERROR(VLOOKUP($C28,#REF!,2,0),$C28))</f>
        <v>Abbott GmbH</v>
      </c>
      <c r="B28" s="9" t="s">
        <v>603</v>
      </c>
      <c r="C28" s="1" t="s">
        <v>144</v>
      </c>
      <c r="D28" s="1" t="s">
        <v>604</v>
      </c>
      <c r="E28" s="9" t="s">
        <v>62</v>
      </c>
      <c r="F28" s="9" t="s">
        <v>238</v>
      </c>
      <c r="G28" s="9" t="s">
        <v>263</v>
      </c>
      <c r="H28" s="63">
        <v>644</v>
      </c>
      <c r="I28" s="63">
        <v>644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/>
      <c r="V28" s="104" t="s">
        <v>953</v>
      </c>
      <c r="W28" s="29"/>
      <c r="X28" s="6">
        <v>2</v>
      </c>
      <c r="Y28" s="6"/>
      <c r="Z28" s="6"/>
      <c r="AA28" s="6"/>
      <c r="AB28" s="6" t="s">
        <v>603</v>
      </c>
      <c r="AC28" s="6" t="s">
        <v>264</v>
      </c>
      <c r="AD28" s="6"/>
      <c r="AE28" s="6">
        <v>644</v>
      </c>
      <c r="AF28" s="6">
        <v>644</v>
      </c>
      <c r="AG28" s="6">
        <v>0</v>
      </c>
      <c r="AH28" s="6">
        <v>0</v>
      </c>
      <c r="AI28" s="6">
        <v>0</v>
      </c>
      <c r="AM28" s="6" t="e">
        <f>_xlfn.XLOOKUP($C28,#REF!,#REF!,"-",0)</f>
        <v>#REF!</v>
      </c>
      <c r="AN28" s="10">
        <f t="shared" si="0"/>
        <v>1</v>
      </c>
    </row>
    <row r="29" spans="1:40" x14ac:dyDescent="0.25">
      <c r="A29" s="6" t="str">
        <f>IF(IFERROR(VLOOKUP($C29,#REF!,2,0),$C29)="Accion",CONCATENATE(IFERROR(VLOOKUP($C29,#REF!,2,0),$C29)," - ",E29),IFERROR(VLOOKUP($C29,#REF!,2,0),$C29))</f>
        <v>Abbott GmbH</v>
      </c>
      <c r="B29" s="9" t="s">
        <v>591</v>
      </c>
      <c r="C29" s="1" t="s">
        <v>144</v>
      </c>
      <c r="D29" s="1" t="s">
        <v>592</v>
      </c>
      <c r="E29" s="9" t="s">
        <v>62</v>
      </c>
      <c r="F29" s="9" t="s">
        <v>238</v>
      </c>
      <c r="G29" s="9" t="s">
        <v>263</v>
      </c>
      <c r="H29" s="63">
        <v>541.33000000000357</v>
      </c>
      <c r="I29" s="63">
        <v>578.67000000000007</v>
      </c>
      <c r="J29" s="63">
        <v>-37.339999999996508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/>
      <c r="V29" s="104" t="s">
        <v>951</v>
      </c>
      <c r="W29" s="6"/>
      <c r="X29" s="6">
        <v>2</v>
      </c>
      <c r="Y29" s="6"/>
      <c r="Z29" s="6"/>
      <c r="AA29" s="6"/>
      <c r="AB29" s="6" t="s">
        <v>591</v>
      </c>
      <c r="AC29" s="6" t="s">
        <v>264</v>
      </c>
      <c r="AD29" s="6"/>
      <c r="AE29" s="6">
        <v>541.33000000000357</v>
      </c>
      <c r="AF29" s="6">
        <v>541.33000000000357</v>
      </c>
      <c r="AG29" s="6">
        <v>0</v>
      </c>
      <c r="AH29" s="6">
        <v>0</v>
      </c>
      <c r="AI29" s="6">
        <v>0</v>
      </c>
      <c r="AM29" s="6" t="e">
        <f>_xlfn.XLOOKUP($C29,#REF!,#REF!,"-",0)</f>
        <v>#REF!</v>
      </c>
      <c r="AN29" s="10">
        <f t="shared" si="0"/>
        <v>1</v>
      </c>
    </row>
    <row r="30" spans="1:40" x14ac:dyDescent="0.25">
      <c r="A30" s="6" t="str">
        <f>IF(IFERROR(VLOOKUP($C30,#REF!,2,0),$C30)="Accion",CONCATENATE(IFERROR(VLOOKUP($C30,#REF!,2,0),$C30)," - ",E30),IFERROR(VLOOKUP($C30,#REF!,2,0),$C30))</f>
        <v>Abbott GmbH</v>
      </c>
      <c r="B30" s="9" t="s">
        <v>623</v>
      </c>
      <c r="C30" s="1" t="s">
        <v>144</v>
      </c>
      <c r="D30" s="1" t="s">
        <v>624</v>
      </c>
      <c r="E30" s="9" t="s">
        <v>62</v>
      </c>
      <c r="F30" s="9" t="s">
        <v>238</v>
      </c>
      <c r="G30" s="9" t="s">
        <v>263</v>
      </c>
      <c r="H30" s="63">
        <v>308</v>
      </c>
      <c r="I30" s="63">
        <v>308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/>
      <c r="V30" s="1" t="s">
        <v>953</v>
      </c>
      <c r="W30" s="6"/>
      <c r="X30" s="6">
        <v>2</v>
      </c>
      <c r="Y30" s="6"/>
      <c r="Z30" s="6"/>
      <c r="AA30" s="6"/>
      <c r="AB30" s="6" t="s">
        <v>623</v>
      </c>
      <c r="AC30" s="6" t="s">
        <v>264</v>
      </c>
      <c r="AD30" s="6"/>
      <c r="AE30" s="6">
        <v>308</v>
      </c>
      <c r="AF30" s="6">
        <v>308</v>
      </c>
      <c r="AG30" s="6">
        <v>0</v>
      </c>
      <c r="AH30" s="6">
        <v>0</v>
      </c>
      <c r="AI30" s="6">
        <v>0</v>
      </c>
      <c r="AM30" s="6" t="e">
        <f>_xlfn.XLOOKUP($C30,#REF!,#REF!,"-",0)</f>
        <v>#REF!</v>
      </c>
      <c r="AN30" s="10">
        <f t="shared" si="0"/>
        <v>1</v>
      </c>
    </row>
    <row r="31" spans="1:40" x14ac:dyDescent="0.25">
      <c r="A31" s="6" t="str">
        <f>IF(IFERROR(VLOOKUP($C31,#REF!,2,0),$C31)="Accion",CONCATENATE(IFERROR(VLOOKUP($C31,#REF!,2,0),$C31)," - ",E31),IFERROR(VLOOKUP($C31,#REF!,2,0),$C31))</f>
        <v>Magnit Global India Private Limited</v>
      </c>
      <c r="B31" s="9" t="s">
        <v>859</v>
      </c>
      <c r="C31" s="1" t="s">
        <v>411</v>
      </c>
      <c r="D31" s="1" t="s">
        <v>860</v>
      </c>
      <c r="E31" s="9" t="s">
        <v>62</v>
      </c>
      <c r="F31" s="9" t="s">
        <v>243</v>
      </c>
      <c r="G31" s="9" t="s">
        <v>263</v>
      </c>
      <c r="H31" s="63">
        <v>251.82999999999993</v>
      </c>
      <c r="I31" s="63">
        <v>0</v>
      </c>
      <c r="J31" s="63">
        <v>251.82999999999993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/>
      <c r="V31" s="104" t="s">
        <v>954</v>
      </c>
      <c r="W31" s="6"/>
      <c r="X31" s="6">
        <v>2</v>
      </c>
      <c r="Y31" s="6"/>
      <c r="Z31" s="6"/>
      <c r="AA31" s="6"/>
      <c r="AB31" s="6" t="s">
        <v>859</v>
      </c>
      <c r="AC31" s="6" t="s">
        <v>266</v>
      </c>
      <c r="AD31" s="6"/>
      <c r="AE31" s="6">
        <v>251.82999999999993</v>
      </c>
      <c r="AF31" s="6">
        <v>251.82999999999993</v>
      </c>
      <c r="AG31" s="6">
        <v>0</v>
      </c>
      <c r="AH31" s="6">
        <v>0</v>
      </c>
      <c r="AI31" s="6">
        <v>0</v>
      </c>
      <c r="AM31" s="6" t="e">
        <f>_xlfn.XLOOKUP($C31,#REF!,#REF!,"-",0)</f>
        <v>#REF!</v>
      </c>
      <c r="AN31" s="10">
        <f t="shared" si="0"/>
        <v>1</v>
      </c>
    </row>
    <row r="32" spans="1:40" x14ac:dyDescent="0.25">
      <c r="A32" s="6" t="str">
        <f>IF(IFERROR(VLOOKUP($C32,#REF!,2,0),$C32)="Accion",CONCATENATE(IFERROR(VLOOKUP($C32,#REF!,2,0),$C32)," - ",E32),IFERROR(VLOOKUP($C32,#REF!,2,0),$C32))</f>
        <v>Abbott Laboratories</v>
      </c>
      <c r="B32" s="9" t="s">
        <v>617</v>
      </c>
      <c r="C32" s="1" t="s">
        <v>147</v>
      </c>
      <c r="D32" s="1" t="s">
        <v>618</v>
      </c>
      <c r="E32" s="9" t="s">
        <v>62</v>
      </c>
      <c r="F32" s="9" t="s">
        <v>241</v>
      </c>
      <c r="G32" s="9" t="s">
        <v>263</v>
      </c>
      <c r="H32" s="63">
        <v>148</v>
      </c>
      <c r="I32" s="63">
        <v>0</v>
      </c>
      <c r="J32" s="63">
        <v>148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/>
      <c r="V32" s="1" t="s">
        <v>954</v>
      </c>
      <c r="W32" s="6"/>
      <c r="X32" s="6">
        <v>2</v>
      </c>
      <c r="Y32" s="6"/>
      <c r="Z32" s="6"/>
      <c r="AA32" s="6"/>
      <c r="AB32" s="6" t="s">
        <v>617</v>
      </c>
      <c r="AC32" s="6" t="s">
        <v>265</v>
      </c>
      <c r="AD32" s="6"/>
      <c r="AE32" s="6">
        <v>148</v>
      </c>
      <c r="AF32" s="6">
        <v>148</v>
      </c>
      <c r="AG32" s="6">
        <v>0</v>
      </c>
      <c r="AH32" s="6">
        <v>0</v>
      </c>
      <c r="AI32" s="6">
        <v>0</v>
      </c>
      <c r="AM32" s="6" t="e">
        <f>_xlfn.XLOOKUP($C32,#REF!,#REF!,"-",0)</f>
        <v>#REF!</v>
      </c>
      <c r="AN32" s="10">
        <f t="shared" si="0"/>
        <v>1</v>
      </c>
    </row>
    <row r="33" spans="1:40" x14ac:dyDescent="0.25">
      <c r="A33" s="6" t="str">
        <f>IF(IFERROR(VLOOKUP($C33,#REF!,2,0),$C33)="Accion",CONCATENATE(IFERROR(VLOOKUP($C33,#REF!,2,0),$C33)," - ",E33),IFERROR(VLOOKUP($C33,#REF!,2,0),$C33))</f>
        <v>Nityo Infotech Services Pvt. Ltd</v>
      </c>
      <c r="B33" s="9" t="s">
        <v>850</v>
      </c>
      <c r="C33" s="1" t="s">
        <v>208</v>
      </c>
      <c r="D33" s="1" t="s">
        <v>57</v>
      </c>
      <c r="E33" s="9" t="s">
        <v>62</v>
      </c>
      <c r="F33" s="9" t="s">
        <v>243</v>
      </c>
      <c r="G33" s="9" t="s">
        <v>263</v>
      </c>
      <c r="H33" s="63">
        <v>91.25</v>
      </c>
      <c r="I33" s="63">
        <v>91.25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/>
      <c r="V33" s="104" t="s">
        <v>953</v>
      </c>
      <c r="W33" s="6"/>
      <c r="X33" s="6">
        <v>2</v>
      </c>
      <c r="Y33" s="6"/>
      <c r="Z33" s="6"/>
      <c r="AA33" s="6"/>
      <c r="AB33" s="6" t="s">
        <v>850</v>
      </c>
      <c r="AC33" s="6" t="s">
        <v>266</v>
      </c>
      <c r="AD33" s="6"/>
      <c r="AE33" s="6">
        <v>91.25</v>
      </c>
      <c r="AF33" s="6">
        <v>91.25</v>
      </c>
      <c r="AG33" s="6">
        <v>0</v>
      </c>
      <c r="AH33" s="6">
        <v>0</v>
      </c>
      <c r="AI33" s="6">
        <v>0</v>
      </c>
      <c r="AM33" s="6" t="e">
        <f>_xlfn.XLOOKUP($C33,#REF!,#REF!,"-",0)</f>
        <v>#REF!</v>
      </c>
      <c r="AN33" s="10">
        <f t="shared" si="0"/>
        <v>1</v>
      </c>
    </row>
    <row r="34" spans="1:40" x14ac:dyDescent="0.25">
      <c r="A34" s="6" t="str">
        <f>IF(IFERROR(VLOOKUP($C34,#REF!,2,0),$C34)="Accion",CONCATENATE(IFERROR(VLOOKUP($C34,#REF!,2,0),$C34)," - ",E34),IFERROR(VLOOKUP($C34,#REF!,2,0),$C34))</f>
        <v>Nityo Infotech Services Pvt. Ltd</v>
      </c>
      <c r="B34" s="9" t="s">
        <v>851</v>
      </c>
      <c r="C34" s="1" t="s">
        <v>208</v>
      </c>
      <c r="D34" s="1" t="s">
        <v>852</v>
      </c>
      <c r="E34" s="9" t="s">
        <v>62</v>
      </c>
      <c r="F34" s="9" t="s">
        <v>243</v>
      </c>
      <c r="G34" s="9" t="s">
        <v>263</v>
      </c>
      <c r="H34" s="63">
        <v>49.369999999999891</v>
      </c>
      <c r="I34" s="63">
        <v>49.369999999999891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/>
      <c r="V34" s="104" t="s">
        <v>953</v>
      </c>
      <c r="W34" s="6"/>
      <c r="X34" s="6">
        <v>2</v>
      </c>
      <c r="Y34" s="6"/>
      <c r="Z34" s="6"/>
      <c r="AA34" s="6"/>
      <c r="AB34" s="6" t="s">
        <v>851</v>
      </c>
      <c r="AC34" s="6" t="s">
        <v>266</v>
      </c>
      <c r="AD34" s="6"/>
      <c r="AE34" s="6">
        <v>49.369999999999891</v>
      </c>
      <c r="AF34" s="6">
        <v>49.369999999999891</v>
      </c>
      <c r="AG34" s="6">
        <v>0</v>
      </c>
      <c r="AH34" s="6">
        <v>0</v>
      </c>
      <c r="AI34" s="6">
        <v>0</v>
      </c>
      <c r="AM34" s="6" t="e">
        <f>_xlfn.XLOOKUP($C34,#REF!,#REF!,"-",0)</f>
        <v>#REF!</v>
      </c>
      <c r="AN34" s="10">
        <f t="shared" si="0"/>
        <v>1</v>
      </c>
    </row>
    <row r="35" spans="1:40" x14ac:dyDescent="0.25">
      <c r="A35" s="6" t="str">
        <f>IF(IFERROR(VLOOKUP($C35,#REF!,2,0),$C35)="Accion",CONCATENATE(IFERROR(VLOOKUP($C35,#REF!,2,0),$C35)," - ",E35),IFERROR(VLOOKUP($C35,#REF!,2,0),$C35))</f>
        <v>National Informatics Centre Services Incorporated (NICSI)</v>
      </c>
      <c r="B35" s="9" t="s">
        <v>418</v>
      </c>
      <c r="C35" s="1" t="s">
        <v>187</v>
      </c>
      <c r="D35" s="1" t="s">
        <v>419</v>
      </c>
      <c r="E35" s="9" t="s">
        <v>66</v>
      </c>
      <c r="F35" s="9" t="s">
        <v>243</v>
      </c>
      <c r="G35" s="9" t="s">
        <v>263</v>
      </c>
      <c r="H35" s="63">
        <v>5.680000000000291</v>
      </c>
      <c r="I35" s="63">
        <v>0</v>
      </c>
      <c r="J35" s="63">
        <v>5.680000000000291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/>
      <c r="V35" s="1" t="s">
        <v>954</v>
      </c>
      <c r="W35" s="6"/>
      <c r="X35" s="6">
        <v>2</v>
      </c>
      <c r="Y35" s="6"/>
      <c r="Z35" s="6"/>
      <c r="AA35" s="6"/>
      <c r="AB35" s="6" t="s">
        <v>418</v>
      </c>
      <c r="AC35" s="6" t="s">
        <v>266</v>
      </c>
      <c r="AD35" s="6"/>
      <c r="AE35" s="6">
        <v>5.680000000000291</v>
      </c>
      <c r="AF35" s="6">
        <v>5.680000000000291</v>
      </c>
      <c r="AG35" s="6">
        <v>0</v>
      </c>
      <c r="AH35" s="6">
        <v>0</v>
      </c>
      <c r="AI35" s="6">
        <v>0</v>
      </c>
      <c r="AM35" s="6" t="e">
        <f>_xlfn.XLOOKUP($C35,#REF!,#REF!,"-",0)</f>
        <v>#REF!</v>
      </c>
      <c r="AN35" s="10">
        <f t="shared" si="0"/>
        <v>1</v>
      </c>
    </row>
    <row r="36" spans="1:40" x14ac:dyDescent="0.25">
      <c r="A36" s="6" t="str">
        <f>IF(IFERROR(VLOOKUP($C36,#REF!,2,0),$C36)="Accion",CONCATENATE(IFERROR(VLOOKUP($C36,#REF!,2,0),$C36)," - ",E36),IFERROR(VLOOKUP($C36,#REF!,2,0),$C36))</f>
        <v>UNICEF</v>
      </c>
      <c r="B36" s="9" t="s">
        <v>569</v>
      </c>
      <c r="C36" s="1" t="s">
        <v>74</v>
      </c>
      <c r="D36" s="1" t="s">
        <v>570</v>
      </c>
      <c r="E36" s="9" t="s">
        <v>66</v>
      </c>
      <c r="F36" s="9" t="s">
        <v>238</v>
      </c>
      <c r="G36" s="9" t="s">
        <v>263</v>
      </c>
      <c r="H36" s="63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/>
      <c r="V36" s="104"/>
      <c r="W36" s="6"/>
      <c r="X36" s="6"/>
      <c r="Y36" s="6"/>
      <c r="Z36" s="6"/>
      <c r="AA36" s="6"/>
      <c r="AB36" s="6" t="s">
        <v>569</v>
      </c>
      <c r="AC36" s="6" t="s">
        <v>264</v>
      </c>
      <c r="AD36" s="6"/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M36" s="6" t="e">
        <f>_xlfn.XLOOKUP($C36,#REF!,#REF!,"-",0)</f>
        <v>#REF!</v>
      </c>
      <c r="AN36" s="10">
        <f t="shared" si="0"/>
        <v>0</v>
      </c>
    </row>
    <row r="37" spans="1:40" x14ac:dyDescent="0.25">
      <c r="A37" s="6" t="str">
        <f>IF(IFERROR(VLOOKUP($C37,#REF!,2,0),$C37)="Accion",CONCATENATE(IFERROR(VLOOKUP($C37,#REF!,2,0),$C37)," - ",E37),IFERROR(VLOOKUP($C37,#REF!,2,0),$C37))</f>
        <v>Abbott GmbH</v>
      </c>
      <c r="B37" s="9" t="s">
        <v>589</v>
      </c>
      <c r="C37" s="1" t="s">
        <v>144</v>
      </c>
      <c r="D37" s="1" t="s">
        <v>590</v>
      </c>
      <c r="E37" s="9" t="s">
        <v>62</v>
      </c>
      <c r="F37" s="9" t="s">
        <v>238</v>
      </c>
      <c r="G37" s="9" t="s">
        <v>263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/>
      <c r="V37" s="104"/>
      <c r="W37" s="6"/>
      <c r="X37" s="6"/>
      <c r="Y37" s="6"/>
      <c r="Z37" s="6"/>
      <c r="AA37" s="6"/>
      <c r="AB37" s="6" t="s">
        <v>589</v>
      </c>
      <c r="AC37" s="6" t="s">
        <v>264</v>
      </c>
      <c r="AD37" s="6"/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M37" s="6" t="e">
        <f>_xlfn.XLOOKUP($C37,#REF!,#REF!,"-",0)</f>
        <v>#REF!</v>
      </c>
      <c r="AN37" s="10">
        <f t="shared" si="0"/>
        <v>0</v>
      </c>
    </row>
    <row r="38" spans="1:40" x14ac:dyDescent="0.25">
      <c r="A38" s="6" t="str">
        <f>IF(IFERROR(VLOOKUP($C38,#REF!,2,0),$C38)="Accion",CONCATENATE(IFERROR(VLOOKUP($C38,#REF!,2,0),$C38)," - ",E38),IFERROR(VLOOKUP($C38,#REF!,2,0),$C38))</f>
        <v>Creiss Systems GmbH</v>
      </c>
      <c r="B38" s="9" t="s">
        <v>166</v>
      </c>
      <c r="C38" s="1" t="s">
        <v>131</v>
      </c>
      <c r="D38" s="1" t="s">
        <v>50</v>
      </c>
      <c r="E38" s="9" t="s">
        <v>62</v>
      </c>
      <c r="F38" s="9" t="s">
        <v>238</v>
      </c>
      <c r="G38" s="9" t="s">
        <v>263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/>
      <c r="V38" s="104"/>
      <c r="W38" s="6"/>
      <c r="X38" s="6"/>
      <c r="Y38" s="6"/>
      <c r="Z38" s="6"/>
      <c r="AA38" s="6"/>
      <c r="AB38" s="6" t="s">
        <v>166</v>
      </c>
      <c r="AC38" s="6" t="s">
        <v>264</v>
      </c>
      <c r="AD38" s="6"/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M38" s="6" t="e">
        <f>_xlfn.XLOOKUP($C38,#REF!,#REF!,"-",0)</f>
        <v>#REF!</v>
      </c>
      <c r="AN38" s="10">
        <f t="shared" si="0"/>
        <v>0</v>
      </c>
    </row>
    <row r="39" spans="1:40" x14ac:dyDescent="0.25">
      <c r="A39" s="6" t="str">
        <f>IF(IFERROR(VLOOKUP($C39,#REF!,2,0),$C39)="Accion",CONCATENATE(IFERROR(VLOOKUP($C39,#REF!,2,0),$C39)," - ",E39),IFERROR(VLOOKUP($C39,#REF!,2,0),$C39))</f>
        <v>UNICEF</v>
      </c>
      <c r="B39" s="9" t="s">
        <v>597</v>
      </c>
      <c r="C39" s="1" t="s">
        <v>74</v>
      </c>
      <c r="D39" s="1" t="s">
        <v>598</v>
      </c>
      <c r="E39" s="9" t="s">
        <v>66</v>
      </c>
      <c r="F39" s="9" t="s">
        <v>238</v>
      </c>
      <c r="G39" s="9" t="s">
        <v>263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/>
      <c r="V39" s="104"/>
      <c r="W39" s="6"/>
      <c r="X39" s="6"/>
      <c r="Y39" s="6"/>
      <c r="Z39" s="6"/>
      <c r="AA39" s="6"/>
      <c r="AB39" s="6" t="s">
        <v>597</v>
      </c>
      <c r="AC39" s="6" t="s">
        <v>264</v>
      </c>
      <c r="AD39" s="6"/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M39" s="6" t="e">
        <f>_xlfn.XLOOKUP($C39,#REF!,#REF!,"-",0)</f>
        <v>#REF!</v>
      </c>
      <c r="AN39" s="10">
        <f t="shared" si="0"/>
        <v>0</v>
      </c>
    </row>
    <row r="40" spans="1:40" x14ac:dyDescent="0.25">
      <c r="A40" s="6" t="str">
        <f>IF(IFERROR(VLOOKUP($C40,#REF!,2,0),$C40)="Accion",CONCATENATE(IFERROR(VLOOKUP($C40,#REF!,2,0),$C40)," - ",E40),IFERROR(VLOOKUP($C40,#REF!,2,0),$C40))</f>
        <v>ParentPay Group Limited</v>
      </c>
      <c r="B40" s="9" t="s">
        <v>213</v>
      </c>
      <c r="C40" s="1" t="s">
        <v>138</v>
      </c>
      <c r="D40" s="1" t="s">
        <v>59</v>
      </c>
      <c r="E40" s="9" t="s">
        <v>62</v>
      </c>
      <c r="F40" s="9" t="s">
        <v>238</v>
      </c>
      <c r="G40" s="9" t="s">
        <v>263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/>
      <c r="V40" s="104"/>
      <c r="W40" s="6"/>
      <c r="X40" s="6"/>
      <c r="Y40" s="6"/>
      <c r="Z40" s="6"/>
      <c r="AA40" s="6"/>
      <c r="AB40" s="6" t="s">
        <v>213</v>
      </c>
      <c r="AC40" s="6" t="s">
        <v>264</v>
      </c>
      <c r="AD40" s="6"/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M40" s="6" t="e">
        <f>_xlfn.XLOOKUP($C40,#REF!,#REF!,"-",0)</f>
        <v>#REF!</v>
      </c>
      <c r="AN40" s="10">
        <f t="shared" si="0"/>
        <v>0</v>
      </c>
    </row>
    <row r="41" spans="1:40" x14ac:dyDescent="0.25">
      <c r="A41" s="6" t="str">
        <f>IF(IFERROR(VLOOKUP($C41,#REF!,2,0),$C41)="Accion",CONCATENATE(IFERROR(VLOOKUP($C41,#REF!,2,0),$C41)," - ",E41),IFERROR(VLOOKUP($C41,#REF!,2,0),$C41))</f>
        <v>ParentPay Group Limited</v>
      </c>
      <c r="B41" s="9" t="s">
        <v>601</v>
      </c>
      <c r="C41" s="1" t="s">
        <v>138</v>
      </c>
      <c r="D41" s="1" t="s">
        <v>602</v>
      </c>
      <c r="E41" s="9" t="s">
        <v>62</v>
      </c>
      <c r="F41" s="9" t="s">
        <v>238</v>
      </c>
      <c r="G41" s="9" t="s">
        <v>263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/>
      <c r="V41" s="104"/>
      <c r="W41" s="6"/>
      <c r="X41" s="6"/>
      <c r="Y41" s="6"/>
      <c r="Z41" s="6"/>
      <c r="AA41" s="6"/>
      <c r="AB41" s="6" t="s">
        <v>601</v>
      </c>
      <c r="AC41" s="6" t="s">
        <v>264</v>
      </c>
      <c r="AD41" s="6"/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M41" s="6" t="e">
        <f>_xlfn.XLOOKUP($C41,#REF!,#REF!,"-",0)</f>
        <v>#REF!</v>
      </c>
      <c r="AN41" s="10">
        <f t="shared" si="0"/>
        <v>0</v>
      </c>
    </row>
    <row r="42" spans="1:40" x14ac:dyDescent="0.25">
      <c r="A42" s="6" t="str">
        <f>IF(IFERROR(VLOOKUP($C42,#REF!,2,0),$C42)="Accion",CONCATENATE(IFERROR(VLOOKUP($C42,#REF!,2,0),$C42)," - ",E42),IFERROR(VLOOKUP($C42,#REF!,2,0),$C42))</f>
        <v>Abbott GmbH</v>
      </c>
      <c r="B42" s="9" t="s">
        <v>607</v>
      </c>
      <c r="C42" s="1" t="s">
        <v>144</v>
      </c>
      <c r="D42" s="1" t="s">
        <v>608</v>
      </c>
      <c r="E42" s="9" t="s">
        <v>62</v>
      </c>
      <c r="F42" s="9" t="s">
        <v>238</v>
      </c>
      <c r="G42" s="9" t="s">
        <v>263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/>
      <c r="V42" s="104"/>
      <c r="W42" s="6"/>
      <c r="X42" s="6"/>
      <c r="Y42" s="6"/>
      <c r="Z42" s="6"/>
      <c r="AA42" s="6"/>
      <c r="AB42" s="6" t="s">
        <v>607</v>
      </c>
      <c r="AC42" s="6" t="s">
        <v>264</v>
      </c>
      <c r="AD42" s="6"/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M42" s="6" t="e">
        <f>_xlfn.XLOOKUP($C42,#REF!,#REF!,"-",0)</f>
        <v>#REF!</v>
      </c>
      <c r="AN42" s="10">
        <f t="shared" si="0"/>
        <v>0</v>
      </c>
    </row>
    <row r="43" spans="1:40" x14ac:dyDescent="0.25">
      <c r="A43" s="6" t="str">
        <f>IF(IFERROR(VLOOKUP($C43,#REF!,2,0),$C43)="Accion",CONCATENATE(IFERROR(VLOOKUP($C43,#REF!,2,0),$C43)," - ",E43),IFERROR(VLOOKUP($C43,#REF!,2,0),$C43))</f>
        <v>Abbott GmbH</v>
      </c>
      <c r="B43" s="9" t="s">
        <v>609</v>
      </c>
      <c r="C43" s="1" t="s">
        <v>144</v>
      </c>
      <c r="D43" s="1" t="s">
        <v>610</v>
      </c>
      <c r="E43" s="9" t="s">
        <v>62</v>
      </c>
      <c r="F43" s="9" t="s">
        <v>238</v>
      </c>
      <c r="G43" s="9" t="s">
        <v>263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/>
      <c r="V43" s="104"/>
      <c r="W43" s="6"/>
      <c r="X43" s="6"/>
      <c r="Y43" s="6"/>
      <c r="Z43" s="6"/>
      <c r="AA43" s="6"/>
      <c r="AB43" s="6" t="s">
        <v>609</v>
      </c>
      <c r="AC43" s="6" t="s">
        <v>264</v>
      </c>
      <c r="AD43" s="6"/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M43" s="6" t="e">
        <f>_xlfn.XLOOKUP($C43,#REF!,#REF!,"-",0)</f>
        <v>#REF!</v>
      </c>
      <c r="AN43" s="10">
        <f t="shared" si="0"/>
        <v>0</v>
      </c>
    </row>
    <row r="44" spans="1:40" x14ac:dyDescent="0.25">
      <c r="A44" s="6" t="str">
        <f>IF(IFERROR(VLOOKUP($C44,#REF!,2,0),$C44)="Accion",CONCATENATE(IFERROR(VLOOKUP($C44,#REF!,2,0),$C44)," - ",E44),IFERROR(VLOOKUP($C44,#REF!,2,0),$C44))</f>
        <v>Abbott Laboratories</v>
      </c>
      <c r="B44" s="9" t="s">
        <v>611</v>
      </c>
      <c r="C44" s="1" t="s">
        <v>147</v>
      </c>
      <c r="D44" s="1" t="s">
        <v>612</v>
      </c>
      <c r="E44" s="9" t="s">
        <v>62</v>
      </c>
      <c r="F44" s="9" t="s">
        <v>241</v>
      </c>
      <c r="G44" s="9" t="s">
        <v>263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/>
      <c r="V44" s="104"/>
      <c r="W44" s="6"/>
      <c r="X44" s="6"/>
      <c r="Y44" s="6"/>
      <c r="Z44" s="6"/>
      <c r="AA44" s="6"/>
      <c r="AB44" s="6" t="s">
        <v>611</v>
      </c>
      <c r="AC44" s="6" t="s">
        <v>265</v>
      </c>
      <c r="AD44" s="6"/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M44" s="6" t="e">
        <f>_xlfn.XLOOKUP($C44,#REF!,#REF!,"-",0)</f>
        <v>#REF!</v>
      </c>
      <c r="AN44" s="10">
        <f t="shared" si="0"/>
        <v>0</v>
      </c>
    </row>
    <row r="45" spans="1:40" x14ac:dyDescent="0.25">
      <c r="A45" s="6" t="str">
        <f>IF(IFERROR(VLOOKUP($C45,#REF!,2,0),$C45)="Accion",CONCATENATE(IFERROR(VLOOKUP($C45,#REF!,2,0),$C45)," - ",E45),IFERROR(VLOOKUP($C45,#REF!,2,0),$C45))</f>
        <v>Abbott Laboratories</v>
      </c>
      <c r="B45" s="9" t="s">
        <v>613</v>
      </c>
      <c r="C45" s="1" t="s">
        <v>147</v>
      </c>
      <c r="D45" s="1" t="s">
        <v>614</v>
      </c>
      <c r="E45" s="9" t="s">
        <v>62</v>
      </c>
      <c r="F45" s="9" t="s">
        <v>241</v>
      </c>
      <c r="G45" s="9" t="s">
        <v>263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/>
      <c r="V45" s="104"/>
      <c r="W45" s="6"/>
      <c r="X45" s="6"/>
      <c r="Y45" s="6"/>
      <c r="Z45" s="6"/>
      <c r="AA45" s="6"/>
      <c r="AB45" s="6" t="s">
        <v>613</v>
      </c>
      <c r="AC45" s="6" t="s">
        <v>265</v>
      </c>
      <c r="AD45" s="6"/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M45" s="6" t="e">
        <f>_xlfn.XLOOKUP($C45,#REF!,#REF!,"-",0)</f>
        <v>#REF!</v>
      </c>
      <c r="AN45" s="10">
        <f t="shared" si="0"/>
        <v>0</v>
      </c>
    </row>
    <row r="46" spans="1:40" x14ac:dyDescent="0.25">
      <c r="A46" s="6" t="str">
        <f>IF(IFERROR(VLOOKUP($C46,#REF!,2,0),$C46)="Accion",CONCATENATE(IFERROR(VLOOKUP($C46,#REF!,2,0),$C46)," - ",E46),IFERROR(VLOOKUP($C46,#REF!,2,0),$C46))</f>
        <v>Abbott Laboratories</v>
      </c>
      <c r="B46" s="9" t="s">
        <v>615</v>
      </c>
      <c r="C46" s="1" t="s">
        <v>147</v>
      </c>
      <c r="D46" s="1" t="s">
        <v>616</v>
      </c>
      <c r="E46" s="9" t="s">
        <v>62</v>
      </c>
      <c r="F46" s="9" t="s">
        <v>241</v>
      </c>
      <c r="G46" s="9" t="s">
        <v>263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/>
      <c r="V46" s="1"/>
      <c r="W46" s="6"/>
      <c r="X46" s="6"/>
      <c r="Y46" s="6"/>
      <c r="Z46" s="6"/>
      <c r="AA46" s="6"/>
      <c r="AB46" s="6" t="s">
        <v>615</v>
      </c>
      <c r="AC46" s="6" t="s">
        <v>265</v>
      </c>
      <c r="AD46" s="6"/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M46" s="6" t="e">
        <f>_xlfn.XLOOKUP($C46,#REF!,#REF!,"-",0)</f>
        <v>#REF!</v>
      </c>
      <c r="AN46" s="10">
        <f t="shared" si="0"/>
        <v>0</v>
      </c>
    </row>
    <row r="47" spans="1:40" x14ac:dyDescent="0.25">
      <c r="A47" s="6" t="str">
        <f>IF(IFERROR(VLOOKUP($C47,#REF!,2,0),$C47)="Accion",CONCATENATE(IFERROR(VLOOKUP($C47,#REF!,2,0),$C47)," - ",E47),IFERROR(VLOOKUP($C47,#REF!,2,0),$C47))</f>
        <v>Abbott Laboratories</v>
      </c>
      <c r="B47" s="9" t="s">
        <v>619</v>
      </c>
      <c r="C47" s="1" t="s">
        <v>147</v>
      </c>
      <c r="D47" s="1" t="s">
        <v>620</v>
      </c>
      <c r="E47" s="9" t="s">
        <v>62</v>
      </c>
      <c r="F47" s="9" t="s">
        <v>241</v>
      </c>
      <c r="G47" s="9" t="s">
        <v>263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/>
      <c r="V47" s="104"/>
      <c r="W47" s="6"/>
      <c r="X47" s="6"/>
      <c r="Y47" s="6"/>
      <c r="Z47" s="6"/>
      <c r="AA47" s="6"/>
      <c r="AB47" s="6" t="s">
        <v>619</v>
      </c>
      <c r="AC47" s="6" t="s">
        <v>265</v>
      </c>
      <c r="AD47" s="6"/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M47" s="6" t="e">
        <f>_xlfn.XLOOKUP($C47,#REF!,#REF!,"-",0)</f>
        <v>#REF!</v>
      </c>
      <c r="AN47" s="10">
        <f t="shared" si="0"/>
        <v>0</v>
      </c>
    </row>
    <row r="48" spans="1:40" x14ac:dyDescent="0.25">
      <c r="A48" s="6" t="str">
        <f>IF(IFERROR(VLOOKUP($C48,#REF!,2,0),$C48)="Accion",CONCATENATE(IFERROR(VLOOKUP($C48,#REF!,2,0),$C48)," - ",E48),IFERROR(VLOOKUP($C48,#REF!,2,0),$C48))</f>
        <v>Accion Labs US, Inc.</v>
      </c>
      <c r="B48" s="9" t="s">
        <v>621</v>
      </c>
      <c r="C48" s="1" t="s">
        <v>149</v>
      </c>
      <c r="D48" s="1" t="s">
        <v>622</v>
      </c>
      <c r="E48" s="9" t="s">
        <v>62</v>
      </c>
      <c r="F48" s="9" t="s">
        <v>241</v>
      </c>
      <c r="G48" s="9" t="s">
        <v>263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/>
      <c r="V48" s="1"/>
      <c r="W48" s="6"/>
      <c r="X48" s="6"/>
      <c r="Y48" s="6"/>
      <c r="Z48" s="6"/>
      <c r="AA48" s="6"/>
      <c r="AB48" s="6" t="s">
        <v>621</v>
      </c>
      <c r="AC48" s="6" t="s">
        <v>265</v>
      </c>
      <c r="AD48" s="6"/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M48" s="6" t="e">
        <f>_xlfn.XLOOKUP($C48,#REF!,#REF!,"-",0)</f>
        <v>#REF!</v>
      </c>
      <c r="AN48" s="10">
        <f t="shared" si="0"/>
        <v>0</v>
      </c>
    </row>
    <row r="49" spans="1:40" x14ac:dyDescent="0.25">
      <c r="A49" s="6" t="str">
        <f>IF(IFERROR(VLOOKUP($C49,#REF!,2,0),$C49)="Accion",CONCATENATE(IFERROR(VLOOKUP($C49,#REF!,2,0),$C49)," - ",E49),IFERROR(VLOOKUP($C49,#REF!,2,0),$C49))</f>
        <v>Abbott GmbH</v>
      </c>
      <c r="B49" s="9" t="s">
        <v>625</v>
      </c>
      <c r="C49" s="1" t="s">
        <v>144</v>
      </c>
      <c r="D49" s="1" t="s">
        <v>626</v>
      </c>
      <c r="E49" s="9" t="s">
        <v>62</v>
      </c>
      <c r="F49" s="9" t="s">
        <v>238</v>
      </c>
      <c r="G49" s="9" t="s">
        <v>263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/>
      <c r="V49" s="104"/>
      <c r="W49" s="6"/>
      <c r="X49" s="6"/>
      <c r="Y49" s="6"/>
      <c r="Z49" s="6"/>
      <c r="AA49" s="6"/>
      <c r="AB49" s="6" t="s">
        <v>625</v>
      </c>
      <c r="AC49" s="6" t="s">
        <v>264</v>
      </c>
      <c r="AD49" s="6"/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M49" s="6" t="e">
        <f>_xlfn.XLOOKUP($C49,#REF!,#REF!,"-",0)</f>
        <v>#REF!</v>
      </c>
      <c r="AN49" s="10">
        <f t="shared" si="0"/>
        <v>0</v>
      </c>
    </row>
    <row r="50" spans="1:40" x14ac:dyDescent="0.25">
      <c r="A50" s="6" t="str">
        <f>IF(IFERROR(VLOOKUP($C50,#REF!,2,0),$C50)="Accion",CONCATENATE(IFERROR(VLOOKUP($C50,#REF!,2,0),$C50)," - ",E50),IFERROR(VLOOKUP($C50,#REF!,2,0),$C50))</f>
        <v>Abbott Laboratories</v>
      </c>
      <c r="B50" s="9" t="s">
        <v>627</v>
      </c>
      <c r="C50" s="1" t="s">
        <v>147</v>
      </c>
      <c r="D50" s="1" t="s">
        <v>628</v>
      </c>
      <c r="E50" s="9" t="s">
        <v>62</v>
      </c>
      <c r="F50" s="9" t="s">
        <v>241</v>
      </c>
      <c r="G50" s="9" t="s">
        <v>263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/>
      <c r="V50" s="104"/>
      <c r="W50" s="6"/>
      <c r="X50" s="6"/>
      <c r="Y50" s="6"/>
      <c r="Z50" s="6"/>
      <c r="AA50" s="6"/>
      <c r="AB50" s="6" t="s">
        <v>627</v>
      </c>
      <c r="AC50" s="6" t="s">
        <v>265</v>
      </c>
      <c r="AD50" s="6"/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M50" s="6" t="e">
        <f>_xlfn.XLOOKUP($C50,#REF!,#REF!,"-",0)</f>
        <v>#REF!</v>
      </c>
      <c r="AN50" s="10">
        <f t="shared" si="0"/>
        <v>0</v>
      </c>
    </row>
    <row r="51" spans="1:40" x14ac:dyDescent="0.25">
      <c r="A51" s="6" t="str">
        <f>IF(IFERROR(VLOOKUP($C51,#REF!,2,0),$C51)="Accion",CONCATENATE(IFERROR(VLOOKUP($C51,#REF!,2,0),$C51)," - ",E51),IFERROR(VLOOKUP($C51,#REF!,2,0),$C51))</f>
        <v>CVS Pharmacy Inc.</v>
      </c>
      <c r="B51" s="9" t="s">
        <v>629</v>
      </c>
      <c r="C51" s="1" t="s">
        <v>122</v>
      </c>
      <c r="D51" s="1" t="s">
        <v>630</v>
      </c>
      <c r="E51" s="9" t="s">
        <v>62</v>
      </c>
      <c r="F51" s="9" t="s">
        <v>241</v>
      </c>
      <c r="G51" s="9" t="s">
        <v>263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/>
      <c r="V51" s="1"/>
      <c r="W51" s="6"/>
      <c r="X51" s="6"/>
      <c r="Y51" s="6"/>
      <c r="Z51" s="6"/>
      <c r="AA51" s="6"/>
      <c r="AB51" s="6" t="s">
        <v>629</v>
      </c>
      <c r="AC51" s="6" t="s">
        <v>265</v>
      </c>
      <c r="AD51" s="6"/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M51" s="6" t="e">
        <f>_xlfn.XLOOKUP($C51,#REF!,#REF!,"-",0)</f>
        <v>#REF!</v>
      </c>
      <c r="AN51" s="10">
        <f t="shared" si="0"/>
        <v>0</v>
      </c>
    </row>
    <row r="52" spans="1:40" x14ac:dyDescent="0.25">
      <c r="A52" s="6" t="str">
        <f>IF(IFERROR(VLOOKUP($C52,#REF!,2,0),$C52)="Accion",CONCATENATE(IFERROR(VLOOKUP($C52,#REF!,2,0),$C52)," - ",E52),IFERROR(VLOOKUP($C52,#REF!,2,0),$C52))</f>
        <v>Emerson Export Engineering Centre</v>
      </c>
      <c r="B52" s="9" t="s">
        <v>631</v>
      </c>
      <c r="C52" s="1" t="s">
        <v>168</v>
      </c>
      <c r="D52" s="105" t="s">
        <v>632</v>
      </c>
      <c r="E52" s="9" t="s">
        <v>62</v>
      </c>
      <c r="F52" s="9" t="s">
        <v>243</v>
      </c>
      <c r="G52" s="9" t="s">
        <v>263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/>
      <c r="V52" s="1"/>
      <c r="W52" s="6"/>
      <c r="X52" s="6"/>
      <c r="Y52" s="6"/>
      <c r="Z52" s="6"/>
      <c r="AA52" s="6"/>
      <c r="AB52" s="6" t="s">
        <v>631</v>
      </c>
      <c r="AC52" s="6" t="s">
        <v>266</v>
      </c>
      <c r="AD52" s="6"/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M52" s="6" t="e">
        <f>_xlfn.XLOOKUP($C52,#REF!,#REF!,"-",0)</f>
        <v>#REF!</v>
      </c>
      <c r="AN52" s="10">
        <f t="shared" si="0"/>
        <v>0</v>
      </c>
    </row>
    <row r="53" spans="1:40" x14ac:dyDescent="0.25">
      <c r="A53" s="6" t="str">
        <f>IF(IFERROR(VLOOKUP($C53,#REF!,2,0),$C53)="Accion",CONCATENATE(IFERROR(VLOOKUP($C53,#REF!,2,0),$C53)," - ",E53),IFERROR(VLOOKUP($C53,#REF!,2,0),$C53))</f>
        <v>Emerson Export Engineering Centre</v>
      </c>
      <c r="B53" s="9" t="s">
        <v>633</v>
      </c>
      <c r="C53" s="1" t="s">
        <v>168</v>
      </c>
      <c r="D53" s="1" t="s">
        <v>634</v>
      </c>
      <c r="E53" s="9" t="s">
        <v>62</v>
      </c>
      <c r="F53" s="9" t="s">
        <v>243</v>
      </c>
      <c r="G53" s="9" t="s">
        <v>263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/>
      <c r="V53" s="1"/>
      <c r="W53" s="6"/>
      <c r="X53" s="6"/>
      <c r="Y53" s="6"/>
      <c r="Z53" s="6"/>
      <c r="AA53" s="6"/>
      <c r="AB53" s="6" t="s">
        <v>633</v>
      </c>
      <c r="AC53" s="6" t="s">
        <v>266</v>
      </c>
      <c r="AD53" s="6"/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M53" s="6" t="e">
        <f>_xlfn.XLOOKUP($C53,#REF!,#REF!,"-",0)</f>
        <v>#REF!</v>
      </c>
      <c r="AN53" s="10">
        <f t="shared" si="0"/>
        <v>0</v>
      </c>
    </row>
    <row r="54" spans="1:40" x14ac:dyDescent="0.25">
      <c r="A54" s="6" t="str">
        <f>IF(IFERROR(VLOOKUP($C54,#REF!,2,0),$C54)="Accion",CONCATENATE(IFERROR(VLOOKUP($C54,#REF!,2,0),$C54)," - ",E54),IFERROR(VLOOKUP($C54,#REF!,2,0),$C54))</f>
        <v>Emerson Export Engineering Centre</v>
      </c>
      <c r="B54" s="9" t="s">
        <v>635</v>
      </c>
      <c r="C54" s="1" t="s">
        <v>168</v>
      </c>
      <c r="D54" s="1" t="s">
        <v>636</v>
      </c>
      <c r="E54" s="9" t="s">
        <v>62</v>
      </c>
      <c r="F54" s="9" t="s">
        <v>243</v>
      </c>
      <c r="G54" s="9" t="s">
        <v>263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/>
      <c r="V54" s="1"/>
      <c r="W54" s="6"/>
      <c r="X54" s="6"/>
      <c r="Y54" s="6"/>
      <c r="Z54" s="6"/>
      <c r="AA54" s="6"/>
      <c r="AB54" s="6" t="s">
        <v>635</v>
      </c>
      <c r="AC54" s="6" t="s">
        <v>266</v>
      </c>
      <c r="AD54" s="6"/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M54" s="6" t="e">
        <f>_xlfn.XLOOKUP($C54,#REF!,#REF!,"-",0)</f>
        <v>#REF!</v>
      </c>
      <c r="AN54" s="10">
        <f t="shared" si="0"/>
        <v>0</v>
      </c>
    </row>
    <row r="55" spans="1:40" x14ac:dyDescent="0.25">
      <c r="A55" s="6" t="str">
        <f>IF(IFERROR(VLOOKUP($C55,#REF!,2,0),$C55)="Accion",CONCATENATE(IFERROR(VLOOKUP($C55,#REF!,2,0),$C55)," - ",E55),IFERROR(VLOOKUP($C55,#REF!,2,0),$C55))</f>
        <v>International Labour Office</v>
      </c>
      <c r="B55" s="9" t="s">
        <v>637</v>
      </c>
      <c r="C55" s="1" t="s">
        <v>137</v>
      </c>
      <c r="D55" s="1" t="s">
        <v>638</v>
      </c>
      <c r="E55" s="9" t="s">
        <v>66</v>
      </c>
      <c r="F55" s="9" t="s">
        <v>238</v>
      </c>
      <c r="G55" s="9" t="s">
        <v>263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/>
      <c r="V55" s="104"/>
      <c r="W55" s="6"/>
      <c r="X55" s="6"/>
      <c r="Y55" s="6"/>
      <c r="Z55" s="6"/>
      <c r="AA55" s="6"/>
      <c r="AB55" s="6" t="s">
        <v>637</v>
      </c>
      <c r="AC55" s="6" t="s">
        <v>264</v>
      </c>
      <c r="AD55" s="6"/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M55" s="6" t="e">
        <f>_xlfn.XLOOKUP($C55,#REF!,#REF!,"-",0)</f>
        <v>#REF!</v>
      </c>
      <c r="AN55" s="10">
        <f t="shared" si="0"/>
        <v>0</v>
      </c>
    </row>
    <row r="56" spans="1:40" x14ac:dyDescent="0.25">
      <c r="A56" s="6" t="str">
        <f>IF(IFERROR(VLOOKUP($C56,#REF!,2,0),$C56)="Accion",CONCATENATE(IFERROR(VLOOKUP($C56,#REF!,2,0),$C56)," - ",E56),IFERROR(VLOOKUP($C56,#REF!,2,0),$C56))</f>
        <v>Ascend Learning LLC</v>
      </c>
      <c r="B56" s="9" t="s">
        <v>639</v>
      </c>
      <c r="C56" s="1" t="s">
        <v>90</v>
      </c>
      <c r="D56" s="1" t="s">
        <v>640</v>
      </c>
      <c r="E56" s="9" t="s">
        <v>62</v>
      </c>
      <c r="F56" s="9" t="s">
        <v>241</v>
      </c>
      <c r="G56" s="9" t="s">
        <v>263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/>
      <c r="V56" s="1"/>
      <c r="W56" s="6"/>
      <c r="X56" s="6"/>
      <c r="Y56" s="6"/>
      <c r="Z56" s="6"/>
      <c r="AA56" s="6"/>
      <c r="AB56" s="6" t="s">
        <v>639</v>
      </c>
      <c r="AC56" s="6" t="s">
        <v>265</v>
      </c>
      <c r="AD56" s="6"/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M56" s="6" t="e">
        <f>_xlfn.XLOOKUP($C56,#REF!,#REF!,"-",0)</f>
        <v>#REF!</v>
      </c>
      <c r="AN56" s="10">
        <f t="shared" si="0"/>
        <v>0</v>
      </c>
    </row>
    <row r="57" spans="1:40" x14ac:dyDescent="0.25">
      <c r="A57" s="6" t="str">
        <f>IF(IFERROR(VLOOKUP($C57,#REF!,2,0),$C57)="Accion",CONCATENATE(IFERROR(VLOOKUP($C57,#REF!,2,0),$C57)," - ",E57),IFERROR(VLOOKUP($C57,#REF!,2,0),$C57))</f>
        <v>Abbott GmbH</v>
      </c>
      <c r="B57" s="9" t="s">
        <v>641</v>
      </c>
      <c r="C57" s="1" t="s">
        <v>144</v>
      </c>
      <c r="D57" s="1" t="s">
        <v>642</v>
      </c>
      <c r="E57" s="9" t="s">
        <v>62</v>
      </c>
      <c r="F57" s="9" t="s">
        <v>238</v>
      </c>
      <c r="G57" s="9" t="s">
        <v>263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/>
      <c r="V57" s="1"/>
      <c r="W57" s="6"/>
      <c r="X57" s="6"/>
      <c r="Y57" s="6"/>
      <c r="Z57" s="6"/>
      <c r="AA57" s="6"/>
      <c r="AB57" s="6" t="s">
        <v>641</v>
      </c>
      <c r="AC57" s="6" t="s">
        <v>264</v>
      </c>
      <c r="AD57" s="6"/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M57" s="6" t="e">
        <f>_xlfn.XLOOKUP($C57,#REF!,#REF!,"-",0)</f>
        <v>#REF!</v>
      </c>
      <c r="AN57" s="10">
        <f t="shared" si="0"/>
        <v>0</v>
      </c>
    </row>
    <row r="58" spans="1:40" x14ac:dyDescent="0.25">
      <c r="A58" s="6" t="str">
        <f>IF(IFERROR(VLOOKUP($C58,#REF!,2,0),$C58)="Accion",CONCATENATE(IFERROR(VLOOKUP($C58,#REF!,2,0),$C58)," - ",E58),IFERROR(VLOOKUP($C58,#REF!,2,0),$C58))</f>
        <v>UNICEF</v>
      </c>
      <c r="B58" s="9" t="s">
        <v>643</v>
      </c>
      <c r="C58" s="1" t="s">
        <v>74</v>
      </c>
      <c r="D58" s="1" t="s">
        <v>644</v>
      </c>
      <c r="E58" s="9" t="s">
        <v>66</v>
      </c>
      <c r="F58" s="9" t="s">
        <v>238</v>
      </c>
      <c r="G58" s="9" t="s">
        <v>263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/>
      <c r="V58" s="1"/>
      <c r="W58" s="6"/>
      <c r="X58" s="6"/>
      <c r="Y58" s="6"/>
      <c r="Z58" s="6"/>
      <c r="AA58" s="6"/>
      <c r="AB58" s="6" t="s">
        <v>643</v>
      </c>
      <c r="AC58" s="6" t="s">
        <v>264</v>
      </c>
      <c r="AD58" s="6"/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M58" s="6" t="e">
        <f>_xlfn.XLOOKUP($C58,#REF!,#REF!,"-",0)</f>
        <v>#REF!</v>
      </c>
      <c r="AN58" s="10">
        <f t="shared" si="0"/>
        <v>0</v>
      </c>
    </row>
    <row r="59" spans="1:40" x14ac:dyDescent="0.25">
      <c r="A59" s="6" t="str">
        <f>IF(IFERROR(VLOOKUP($C59,#REF!,2,0),$C59)="Accion",CONCATENATE(IFERROR(VLOOKUP($C59,#REF!,2,0),$C59)," - ",E59),IFERROR(VLOOKUP($C59,#REF!,2,0),$C59))</f>
        <v>Bayer Science And Innovation Private Limited</v>
      </c>
      <c r="B59" s="9" t="s">
        <v>645</v>
      </c>
      <c r="C59" s="1" t="s">
        <v>162</v>
      </c>
      <c r="D59" s="1" t="s">
        <v>646</v>
      </c>
      <c r="E59" s="9" t="s">
        <v>62</v>
      </c>
      <c r="F59" s="9" t="s">
        <v>243</v>
      </c>
      <c r="G59" s="9" t="s">
        <v>263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/>
      <c r="V59" s="1"/>
      <c r="W59" s="6"/>
      <c r="X59" s="6"/>
      <c r="Y59" s="6"/>
      <c r="Z59" s="6"/>
      <c r="AA59" s="6"/>
      <c r="AB59" s="6" t="s">
        <v>645</v>
      </c>
      <c r="AC59" s="6" t="s">
        <v>266</v>
      </c>
      <c r="AD59" s="6"/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M59" s="6" t="e">
        <f>_xlfn.XLOOKUP($C59,#REF!,#REF!,"-",0)</f>
        <v>#REF!</v>
      </c>
      <c r="AN59" s="10">
        <f t="shared" si="0"/>
        <v>0</v>
      </c>
    </row>
    <row r="60" spans="1:40" x14ac:dyDescent="0.25">
      <c r="A60" s="6" t="str">
        <f>IF(IFERROR(VLOOKUP($C60,#REF!,2,0),$C60)="Accion",CONCATENATE(IFERROR(VLOOKUP($C60,#REF!,2,0),$C60)," - ",E60),IFERROR(VLOOKUP($C60,#REF!,2,0),$C60))</f>
        <v>Magnifact LLC</v>
      </c>
      <c r="B60" s="9" t="s">
        <v>647</v>
      </c>
      <c r="C60" s="1" t="s">
        <v>83</v>
      </c>
      <c r="D60" s="1" t="s">
        <v>10</v>
      </c>
      <c r="E60" s="9" t="s">
        <v>62</v>
      </c>
      <c r="F60" s="9" t="s">
        <v>241</v>
      </c>
      <c r="G60" s="9" t="s">
        <v>263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/>
      <c r="V60" s="1"/>
      <c r="W60" s="6"/>
      <c r="X60" s="6"/>
      <c r="Y60" s="6"/>
      <c r="Z60" s="6"/>
      <c r="AA60" s="6"/>
      <c r="AB60" s="6" t="s">
        <v>647</v>
      </c>
      <c r="AC60" s="6" t="s">
        <v>265</v>
      </c>
      <c r="AD60" s="6"/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M60" s="6" t="e">
        <f>_xlfn.XLOOKUP($C60,#REF!,#REF!,"-",0)</f>
        <v>#REF!</v>
      </c>
      <c r="AN60" s="10">
        <f t="shared" si="0"/>
        <v>0</v>
      </c>
    </row>
    <row r="61" spans="1:40" x14ac:dyDescent="0.25">
      <c r="A61" s="6" t="str">
        <f>IF(IFERROR(VLOOKUP($C61,#REF!,2,0),$C61)="Accion",CONCATENATE(IFERROR(VLOOKUP($C61,#REF!,2,0),$C61)," - ",E61),IFERROR(VLOOKUP($C61,#REF!,2,0),$C61))</f>
        <v>Abbott GmbH</v>
      </c>
      <c r="B61" s="9" t="s">
        <v>648</v>
      </c>
      <c r="C61" s="1" t="s">
        <v>144</v>
      </c>
      <c r="D61" s="1" t="s">
        <v>649</v>
      </c>
      <c r="E61" s="9" t="s">
        <v>62</v>
      </c>
      <c r="F61" s="9" t="s">
        <v>238</v>
      </c>
      <c r="G61" s="9" t="s">
        <v>263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/>
      <c r="V61" s="1"/>
      <c r="W61" s="6"/>
      <c r="X61" s="6"/>
      <c r="Y61" s="6"/>
      <c r="Z61" s="6"/>
      <c r="AA61" s="6"/>
      <c r="AB61" s="6" t="s">
        <v>648</v>
      </c>
      <c r="AC61" s="6" t="s">
        <v>264</v>
      </c>
      <c r="AD61" s="6"/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M61" s="6" t="e">
        <f>_xlfn.XLOOKUP($C61,#REF!,#REF!,"-",0)</f>
        <v>#REF!</v>
      </c>
      <c r="AN61" s="10">
        <f t="shared" si="0"/>
        <v>0</v>
      </c>
    </row>
    <row r="62" spans="1:40" x14ac:dyDescent="0.25">
      <c r="A62" s="6" t="str">
        <f>IF(IFERROR(VLOOKUP($C62,#REF!,2,0),$C62)="Accion",CONCATENATE(IFERROR(VLOOKUP($C62,#REF!,2,0),$C62)," - ",E62),IFERROR(VLOOKUP($C62,#REF!,2,0),$C62))</f>
        <v>World Wide Technology, LLC,</v>
      </c>
      <c r="B62" s="9" t="s">
        <v>650</v>
      </c>
      <c r="C62" s="1" t="s">
        <v>440</v>
      </c>
      <c r="D62" s="1" t="s">
        <v>651</v>
      </c>
      <c r="E62" s="9" t="s">
        <v>62</v>
      </c>
      <c r="F62" s="9" t="s">
        <v>241</v>
      </c>
      <c r="G62" s="9" t="s">
        <v>263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/>
      <c r="V62" s="1"/>
      <c r="W62" s="6"/>
      <c r="X62" s="6"/>
      <c r="Y62" s="6"/>
      <c r="Z62" s="6"/>
      <c r="AA62" s="6"/>
      <c r="AB62" s="6" t="s">
        <v>650</v>
      </c>
      <c r="AC62" s="6" t="s">
        <v>265</v>
      </c>
      <c r="AD62" s="6"/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M62" s="6" t="e">
        <f>_xlfn.XLOOKUP($C62,#REF!,#REF!,"-",0)</f>
        <v>#REF!</v>
      </c>
      <c r="AN62" s="10">
        <f t="shared" si="0"/>
        <v>0</v>
      </c>
    </row>
    <row r="63" spans="1:40" x14ac:dyDescent="0.25">
      <c r="A63" s="6" t="str">
        <f>IF(IFERROR(VLOOKUP($C63,#REF!,2,0),$C63)="Accion",CONCATENATE(IFERROR(VLOOKUP($C63,#REF!,2,0),$C63)," - ",E63),IFERROR(VLOOKUP($C63,#REF!,2,0),$C63))</f>
        <v>World Health Organization.</v>
      </c>
      <c r="B63" s="9" t="s">
        <v>536</v>
      </c>
      <c r="C63" s="1" t="s">
        <v>143</v>
      </c>
      <c r="D63" s="1" t="s">
        <v>537</v>
      </c>
      <c r="E63" s="9" t="s">
        <v>66</v>
      </c>
      <c r="F63" s="9" t="s">
        <v>238</v>
      </c>
      <c r="G63" s="9" t="s">
        <v>263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/>
      <c r="V63" s="1"/>
      <c r="W63" s="6"/>
      <c r="X63" s="6"/>
      <c r="Y63" s="6"/>
      <c r="Z63" s="6"/>
      <c r="AA63" s="6"/>
      <c r="AB63" s="6" t="s">
        <v>536</v>
      </c>
      <c r="AC63" s="6" t="s">
        <v>264</v>
      </c>
      <c r="AD63" s="6"/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M63" s="6" t="e">
        <f>_xlfn.XLOOKUP($C63,#REF!,#REF!,"-",0)</f>
        <v>#REF!</v>
      </c>
      <c r="AN63" s="10">
        <f t="shared" si="0"/>
        <v>0</v>
      </c>
    </row>
    <row r="64" spans="1:40" x14ac:dyDescent="0.25">
      <c r="A64" s="6" t="str">
        <f>IF(IFERROR(VLOOKUP($C64,#REF!,2,0),$C64)="Accion",CONCATENATE(IFERROR(VLOOKUP($C64,#REF!,2,0),$C64)," - ",E64),IFERROR(VLOOKUP($C64,#REF!,2,0),$C64))</f>
        <v>TALUTION GROUP, LLC.</v>
      </c>
      <c r="B64" s="9" t="s">
        <v>652</v>
      </c>
      <c r="C64" s="1" t="s">
        <v>132</v>
      </c>
      <c r="D64" s="1" t="s">
        <v>653</v>
      </c>
      <c r="E64" s="9" t="s">
        <v>66</v>
      </c>
      <c r="F64" s="9" t="s">
        <v>241</v>
      </c>
      <c r="G64" s="9" t="s">
        <v>263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/>
      <c r="V64" s="1"/>
      <c r="W64" s="6"/>
      <c r="X64" s="6"/>
      <c r="Y64" s="6"/>
      <c r="Z64" s="6"/>
      <c r="AA64" s="6"/>
      <c r="AB64" s="6" t="s">
        <v>652</v>
      </c>
      <c r="AC64" s="6" t="s">
        <v>265</v>
      </c>
      <c r="AD64" s="6"/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M64" s="6" t="e">
        <f>_xlfn.XLOOKUP($C64,#REF!,#REF!,"-",0)</f>
        <v>#REF!</v>
      </c>
      <c r="AN64" s="10">
        <f t="shared" si="0"/>
        <v>0</v>
      </c>
    </row>
    <row r="65" spans="1:40" x14ac:dyDescent="0.25">
      <c r="A65" s="6" t="str">
        <f>IF(IFERROR(VLOOKUP($C65,#REF!,2,0),$C65)="Accion",CONCATENATE(IFERROR(VLOOKUP($C65,#REF!,2,0),$C65)," - ",E65),IFERROR(VLOOKUP($C65,#REF!,2,0),$C65))</f>
        <v>Abbott GmbH</v>
      </c>
      <c r="B65" s="9" t="s">
        <v>540</v>
      </c>
      <c r="C65" s="1" t="s">
        <v>144</v>
      </c>
      <c r="D65" s="1" t="s">
        <v>654</v>
      </c>
      <c r="E65" s="9" t="s">
        <v>62</v>
      </c>
      <c r="F65" s="9" t="s">
        <v>238</v>
      </c>
      <c r="G65" s="9" t="s">
        <v>263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/>
      <c r="V65" s="1"/>
      <c r="W65" s="6"/>
      <c r="X65" s="6"/>
      <c r="Y65" s="6"/>
      <c r="Z65" s="6"/>
      <c r="AA65" s="6"/>
      <c r="AB65" s="6" t="s">
        <v>540</v>
      </c>
      <c r="AC65" s="6" t="s">
        <v>264</v>
      </c>
      <c r="AD65" s="6"/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M65" s="6" t="e">
        <f>_xlfn.XLOOKUP($C65,#REF!,#REF!,"-",0)</f>
        <v>#REF!</v>
      </c>
      <c r="AN65" s="10">
        <f t="shared" si="0"/>
        <v>0</v>
      </c>
    </row>
    <row r="66" spans="1:40" x14ac:dyDescent="0.25">
      <c r="A66" s="6" t="str">
        <f>IF(IFERROR(VLOOKUP($C66,#REF!,2,0),$C66)="Accion",CONCATENATE(IFERROR(VLOOKUP($C66,#REF!,2,0),$C66)," - ",E66),IFERROR(VLOOKUP($C66,#REF!,2,0),$C66))</f>
        <v>International Organization for Migration</v>
      </c>
      <c r="B66" s="9" t="s">
        <v>562</v>
      </c>
      <c r="C66" s="1" t="s">
        <v>67</v>
      </c>
      <c r="D66" s="1" t="s">
        <v>563</v>
      </c>
      <c r="E66" s="9" t="s">
        <v>66</v>
      </c>
      <c r="F66" s="9" t="s">
        <v>238</v>
      </c>
      <c r="G66" s="9" t="s">
        <v>263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/>
      <c r="V66" s="1"/>
      <c r="W66" s="6"/>
      <c r="X66" s="6"/>
      <c r="Y66" s="6"/>
      <c r="Z66" s="6"/>
      <c r="AA66" s="6"/>
      <c r="AB66" s="6" t="s">
        <v>562</v>
      </c>
      <c r="AC66" s="6" t="s">
        <v>264</v>
      </c>
      <c r="AD66" s="6"/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M66" s="6" t="e">
        <f>_xlfn.XLOOKUP($C66,#REF!,#REF!,"-",0)</f>
        <v>#REF!</v>
      </c>
      <c r="AN66" s="10">
        <f t="shared" si="0"/>
        <v>0</v>
      </c>
    </row>
    <row r="67" spans="1:40" x14ac:dyDescent="0.25">
      <c r="A67" s="6" t="str">
        <f>IF(IFERROR(VLOOKUP($C67,#REF!,2,0),$C67)="Accion",CONCATENATE(IFERROR(VLOOKUP($C67,#REF!,2,0),$C67)," - ",E67),IFERROR(VLOOKUP($C67,#REF!,2,0),$C67))</f>
        <v>UNICEF</v>
      </c>
      <c r="B67" s="9" t="s">
        <v>655</v>
      </c>
      <c r="C67" s="1" t="s">
        <v>74</v>
      </c>
      <c r="D67" s="1" t="s">
        <v>656</v>
      </c>
      <c r="E67" s="9" t="s">
        <v>66</v>
      </c>
      <c r="F67" s="9" t="s">
        <v>238</v>
      </c>
      <c r="G67" s="9" t="s">
        <v>263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/>
      <c r="V67" s="1"/>
      <c r="W67" s="6"/>
      <c r="X67" s="6"/>
      <c r="Y67" s="6"/>
      <c r="Z67" s="6"/>
      <c r="AA67" s="6"/>
      <c r="AB67" s="6" t="s">
        <v>655</v>
      </c>
      <c r="AC67" s="6" t="s">
        <v>264</v>
      </c>
      <c r="AD67" s="6"/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M67" s="6" t="e">
        <f>_xlfn.XLOOKUP($C67,#REF!,#REF!,"-",0)</f>
        <v>#REF!</v>
      </c>
      <c r="AN67" s="10">
        <f t="shared" si="0"/>
        <v>0</v>
      </c>
    </row>
    <row r="68" spans="1:40" x14ac:dyDescent="0.25">
      <c r="A68" s="6" t="str">
        <f>IF(IFERROR(VLOOKUP($C68,#REF!,2,0),$C68)="Accion",CONCATENATE(IFERROR(VLOOKUP($C68,#REF!,2,0),$C68)," - ",E68),IFERROR(VLOOKUP($C68,#REF!,2,0),$C68))</f>
        <v>World Health Organization.</v>
      </c>
      <c r="B68" s="9" t="s">
        <v>521</v>
      </c>
      <c r="C68" s="1" t="s">
        <v>143</v>
      </c>
      <c r="D68" s="1" t="s">
        <v>522</v>
      </c>
      <c r="E68" s="9" t="s">
        <v>66</v>
      </c>
      <c r="F68" s="9" t="s">
        <v>238</v>
      </c>
      <c r="G68" s="9" t="s">
        <v>263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/>
      <c r="V68" s="1"/>
      <c r="W68" s="6"/>
      <c r="X68" s="6"/>
      <c r="Y68" s="6"/>
      <c r="Z68" s="6"/>
      <c r="AA68" s="6"/>
      <c r="AB68" s="6" t="s">
        <v>521</v>
      </c>
      <c r="AC68" s="6" t="s">
        <v>264</v>
      </c>
      <c r="AD68" s="6"/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M68" s="6" t="e">
        <f>_xlfn.XLOOKUP($C68,#REF!,#REF!,"-",0)</f>
        <v>#REF!</v>
      </c>
      <c r="AN68" s="10">
        <f t="shared" si="0"/>
        <v>0</v>
      </c>
    </row>
    <row r="69" spans="1:40" x14ac:dyDescent="0.25">
      <c r="A69" s="6" t="str">
        <f>IF(IFERROR(VLOOKUP($C69,#REF!,2,0),$C69)="Accion",CONCATENATE(IFERROR(VLOOKUP($C69,#REF!,2,0),$C69)," - ",E69),IFERROR(VLOOKUP($C69,#REF!,2,0),$C69))</f>
        <v>WORKSOFT INC</v>
      </c>
      <c r="B69" s="9" t="s">
        <v>207</v>
      </c>
      <c r="C69" s="1" t="s">
        <v>96</v>
      </c>
      <c r="D69" s="1" t="s">
        <v>22</v>
      </c>
      <c r="E69" s="9" t="s">
        <v>62</v>
      </c>
      <c r="F69" s="9" t="s">
        <v>241</v>
      </c>
      <c r="G69" s="9" t="s">
        <v>263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/>
      <c r="V69" s="1"/>
      <c r="W69" s="6"/>
      <c r="X69" s="6"/>
      <c r="Y69" s="6"/>
      <c r="Z69" s="6"/>
      <c r="AA69" s="6"/>
      <c r="AB69" s="6" t="s">
        <v>207</v>
      </c>
      <c r="AC69" s="6" t="s">
        <v>265</v>
      </c>
      <c r="AD69" s="6"/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M69" s="6" t="e">
        <f>_xlfn.XLOOKUP($C69,#REF!,#REF!,"-",0)</f>
        <v>#REF!</v>
      </c>
      <c r="AN69" s="10">
        <f t="shared" si="0"/>
        <v>0</v>
      </c>
    </row>
    <row r="70" spans="1:40" x14ac:dyDescent="0.25">
      <c r="A70" s="6" t="str">
        <f>IF(IFERROR(VLOOKUP($C70,#REF!,2,0),$C70)="Accion",CONCATENATE(IFERROR(VLOOKUP($C70,#REF!,2,0),$C70)," - ",E70),IFERROR(VLOOKUP($C70,#REF!,2,0),$C70))</f>
        <v>UNICEF</v>
      </c>
      <c r="B70" s="9" t="s">
        <v>197</v>
      </c>
      <c r="C70" s="1" t="s">
        <v>74</v>
      </c>
      <c r="D70" s="1" t="s">
        <v>54</v>
      </c>
      <c r="E70" s="9" t="s">
        <v>66</v>
      </c>
      <c r="F70" s="9" t="s">
        <v>238</v>
      </c>
      <c r="G70" s="9" t="s">
        <v>263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/>
      <c r="V70" s="1"/>
      <c r="W70" s="6"/>
      <c r="X70" s="6"/>
      <c r="Y70" s="6"/>
      <c r="Z70" s="6"/>
      <c r="AA70" s="6"/>
      <c r="AB70" s="6" t="s">
        <v>197</v>
      </c>
      <c r="AC70" s="6" t="s">
        <v>264</v>
      </c>
      <c r="AD70" s="6"/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M70" s="6" t="e">
        <f>_xlfn.XLOOKUP($C70,#REF!,#REF!,"-",0)</f>
        <v>#REF!</v>
      </c>
      <c r="AN70" s="10">
        <f t="shared" si="0"/>
        <v>0</v>
      </c>
    </row>
    <row r="71" spans="1:40" x14ac:dyDescent="0.25">
      <c r="A71" s="6" t="str">
        <f>IF(IFERROR(VLOOKUP($C71,#REF!,2,0),$C71)="Accion",CONCATENATE(IFERROR(VLOOKUP($C71,#REF!,2,0),$C71)," - ",E71),IFERROR(VLOOKUP($C71,#REF!,2,0),$C71))</f>
        <v>World Health Organization</v>
      </c>
      <c r="B71" s="9" t="s">
        <v>548</v>
      </c>
      <c r="C71" s="1" t="s">
        <v>445</v>
      </c>
      <c r="D71" s="1" t="s">
        <v>549</v>
      </c>
      <c r="E71" s="9" t="s">
        <v>66</v>
      </c>
      <c r="F71" s="9" t="s">
        <v>238</v>
      </c>
      <c r="G71" s="9" t="s">
        <v>263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/>
      <c r="V71" s="1"/>
      <c r="W71" s="6"/>
      <c r="X71" s="6"/>
      <c r="Y71" s="6"/>
      <c r="Z71" s="6"/>
      <c r="AA71" s="6"/>
      <c r="AB71" s="6" t="s">
        <v>548</v>
      </c>
      <c r="AC71" s="6" t="s">
        <v>264</v>
      </c>
      <c r="AD71" s="6"/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M71" s="6" t="e">
        <f>_xlfn.XLOOKUP($C71,#REF!,#REF!,"-",0)</f>
        <v>#REF!</v>
      </c>
      <c r="AN71" s="10">
        <f t="shared" si="0"/>
        <v>0</v>
      </c>
    </row>
    <row r="72" spans="1:40" x14ac:dyDescent="0.25">
      <c r="A72" s="6" t="str">
        <f>IF(IFERROR(VLOOKUP($C72,#REF!,2,0),$C72)="Accion",CONCATENATE(IFERROR(VLOOKUP($C72,#REF!,2,0),$C72)," - ",E72),IFERROR(VLOOKUP($C72,#REF!,2,0),$C72))</f>
        <v>Organisation for Prohibition of Chemical Weapons</v>
      </c>
      <c r="B72" s="9" t="s">
        <v>550</v>
      </c>
      <c r="C72" s="1" t="s">
        <v>71</v>
      </c>
      <c r="D72" s="1" t="s">
        <v>551</v>
      </c>
      <c r="E72" s="9" t="s">
        <v>66</v>
      </c>
      <c r="F72" s="9" t="s">
        <v>238</v>
      </c>
      <c r="G72" s="9" t="s">
        <v>263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/>
      <c r="V72" s="1"/>
      <c r="W72" s="6"/>
      <c r="X72" s="6"/>
      <c r="Y72" s="6"/>
      <c r="Z72" s="6"/>
      <c r="AA72" s="6"/>
      <c r="AB72" s="6" t="s">
        <v>550</v>
      </c>
      <c r="AC72" s="6" t="s">
        <v>264</v>
      </c>
      <c r="AD72" s="6"/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M72" s="6" t="e">
        <f>_xlfn.XLOOKUP($C72,#REF!,#REF!,"-",0)</f>
        <v>#REF!</v>
      </c>
      <c r="AN72" s="10">
        <f t="shared" si="0"/>
        <v>0</v>
      </c>
    </row>
    <row r="73" spans="1:40" x14ac:dyDescent="0.25">
      <c r="A73" s="6" t="str">
        <f>IF(IFERROR(VLOOKUP($C73,#REF!,2,0),$C73)="Accion",CONCATENATE(IFERROR(VLOOKUP($C73,#REF!,2,0),$C73)," - ",E73),IFERROR(VLOOKUP($C73,#REF!,2,0),$C73))</f>
        <v>Ascend Learning LLC</v>
      </c>
      <c r="B73" s="9" t="s">
        <v>657</v>
      </c>
      <c r="C73" s="1" t="s">
        <v>90</v>
      </c>
      <c r="D73" s="1" t="s">
        <v>658</v>
      </c>
      <c r="E73" s="9" t="s">
        <v>62</v>
      </c>
      <c r="F73" s="9" t="s">
        <v>241</v>
      </c>
      <c r="G73" s="9" t="s">
        <v>263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/>
      <c r="V73" s="1"/>
      <c r="W73" s="6"/>
      <c r="X73" s="6"/>
      <c r="Y73" s="6"/>
      <c r="Z73" s="6"/>
      <c r="AA73" s="6"/>
      <c r="AB73" s="6" t="s">
        <v>657</v>
      </c>
      <c r="AC73" s="6" t="s">
        <v>265</v>
      </c>
      <c r="AD73" s="6"/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M73" s="6" t="e">
        <f>_xlfn.XLOOKUP($C73,#REF!,#REF!,"-",0)</f>
        <v>#REF!</v>
      </c>
      <c r="AN73" s="10">
        <f t="shared" si="0"/>
        <v>0</v>
      </c>
    </row>
    <row r="74" spans="1:40" x14ac:dyDescent="0.25">
      <c r="A74" s="6" t="str">
        <f>IF(IFERROR(VLOOKUP($C74,#REF!,2,0),$C74)="Accion",CONCATENATE(IFERROR(VLOOKUP($C74,#REF!,2,0),$C74)," - ",E74),IFERROR(VLOOKUP($C74,#REF!,2,0),$C74))</f>
        <v>BanCAPs PLLC</v>
      </c>
      <c r="B74" s="9" t="s">
        <v>659</v>
      </c>
      <c r="C74" s="1" t="s">
        <v>123</v>
      </c>
      <c r="D74" s="1" t="s">
        <v>660</v>
      </c>
      <c r="E74" s="9" t="s">
        <v>62</v>
      </c>
      <c r="F74" s="9" t="s">
        <v>241</v>
      </c>
      <c r="G74" s="9" t="s">
        <v>263</v>
      </c>
      <c r="H74" s="63">
        <v>0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/>
      <c r="V74" s="1"/>
      <c r="W74" s="6"/>
      <c r="X74" s="6"/>
      <c r="Y74" s="6"/>
      <c r="Z74" s="6"/>
      <c r="AA74" s="6"/>
      <c r="AB74" s="6" t="s">
        <v>659</v>
      </c>
      <c r="AC74" s="6" t="s">
        <v>265</v>
      </c>
      <c r="AD74" s="6"/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M74" s="6" t="e">
        <f>_xlfn.XLOOKUP($C74,#REF!,#REF!,"-",0)</f>
        <v>#REF!</v>
      </c>
      <c r="AN74" s="10">
        <f t="shared" si="0"/>
        <v>0</v>
      </c>
    </row>
    <row r="75" spans="1:40" x14ac:dyDescent="0.25">
      <c r="A75" s="6" t="str">
        <f>IF(IFERROR(VLOOKUP($C75,#REF!,2,0),$C75)="Accion",CONCATENATE(IFERROR(VLOOKUP($C75,#REF!,2,0),$C75)," - ",E75),IFERROR(VLOOKUP($C75,#REF!,2,0),$C75))</f>
        <v>World Health Organization.</v>
      </c>
      <c r="B75" s="9" t="s">
        <v>661</v>
      </c>
      <c r="C75" s="1" t="s">
        <v>143</v>
      </c>
      <c r="D75" s="1" t="s">
        <v>662</v>
      </c>
      <c r="E75" s="9" t="s">
        <v>66</v>
      </c>
      <c r="F75" s="9" t="s">
        <v>238</v>
      </c>
      <c r="G75" s="9" t="s">
        <v>263</v>
      </c>
      <c r="H75" s="63">
        <v>0</v>
      </c>
      <c r="I75" s="63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3">
        <v>0</v>
      </c>
      <c r="T75" s="63">
        <v>0</v>
      </c>
      <c r="U75" s="63"/>
      <c r="V75" s="1"/>
      <c r="W75" s="6"/>
      <c r="X75" s="6"/>
      <c r="Y75" s="6"/>
      <c r="Z75" s="6"/>
      <c r="AA75" s="6"/>
      <c r="AB75" s="6" t="s">
        <v>661</v>
      </c>
      <c r="AC75" s="6" t="s">
        <v>264</v>
      </c>
      <c r="AD75" s="6"/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M75" s="6" t="e">
        <f>_xlfn.XLOOKUP($C75,#REF!,#REF!,"-",0)</f>
        <v>#REF!</v>
      </c>
      <c r="AN75" s="10">
        <f t="shared" ref="AN75:AN138" si="1">IF(H75&gt;0,1,IF(H75&lt;0,-1,0))</f>
        <v>0</v>
      </c>
    </row>
    <row r="76" spans="1:40" x14ac:dyDescent="0.25">
      <c r="A76" s="6" t="str">
        <f>IF(IFERROR(VLOOKUP($C76,#REF!,2,0),$C76)="Accion",CONCATENATE(IFERROR(VLOOKUP($C76,#REF!,2,0),$C76)," - ",E76),IFERROR(VLOOKUP($C76,#REF!,2,0),$C76))</f>
        <v>Magnifact LLC</v>
      </c>
      <c r="B76" s="9" t="s">
        <v>663</v>
      </c>
      <c r="C76" s="1" t="s">
        <v>83</v>
      </c>
      <c r="D76" s="1" t="s">
        <v>664</v>
      </c>
      <c r="E76" s="9" t="s">
        <v>62</v>
      </c>
      <c r="F76" s="9" t="s">
        <v>241</v>
      </c>
      <c r="G76" s="9" t="s">
        <v>263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/>
      <c r="V76" s="1"/>
      <c r="W76" s="6"/>
      <c r="X76" s="6"/>
      <c r="Y76" s="6"/>
      <c r="Z76" s="6"/>
      <c r="AA76" s="6"/>
      <c r="AB76" s="6" t="s">
        <v>663</v>
      </c>
      <c r="AC76" s="6" t="s">
        <v>265</v>
      </c>
      <c r="AD76" s="6"/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M76" s="6" t="e">
        <f>_xlfn.XLOOKUP($C76,#REF!,#REF!,"-",0)</f>
        <v>#REF!</v>
      </c>
      <c r="AN76" s="10">
        <f t="shared" si="1"/>
        <v>0</v>
      </c>
    </row>
    <row r="77" spans="1:40" x14ac:dyDescent="0.25">
      <c r="A77" s="6" t="str">
        <f>IF(IFERROR(VLOOKUP($C77,#REF!,2,0),$C77)="Accion",CONCATENATE(IFERROR(VLOOKUP($C77,#REF!,2,0),$C77)," - ",E77),IFERROR(VLOOKUP($C77,#REF!,2,0),$C77))</f>
        <v>Viavi Solutions Inc.</v>
      </c>
      <c r="B77" s="9" t="s">
        <v>665</v>
      </c>
      <c r="C77" s="1" t="s">
        <v>538</v>
      </c>
      <c r="D77" s="1" t="s">
        <v>666</v>
      </c>
      <c r="E77" s="9" t="s">
        <v>62</v>
      </c>
      <c r="F77" s="9" t="s">
        <v>241</v>
      </c>
      <c r="G77" s="9" t="s">
        <v>263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/>
      <c r="V77" s="1"/>
      <c r="W77" s="6"/>
      <c r="X77" s="6"/>
      <c r="Y77" s="6"/>
      <c r="Z77" s="6"/>
      <c r="AA77" s="6"/>
      <c r="AB77" s="6" t="s">
        <v>665</v>
      </c>
      <c r="AC77" s="6" t="s">
        <v>265</v>
      </c>
      <c r="AD77" s="6"/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M77" s="6" t="e">
        <f>_xlfn.XLOOKUP($C77,#REF!,#REF!,"-",0)</f>
        <v>#REF!</v>
      </c>
      <c r="AN77" s="10">
        <f t="shared" si="1"/>
        <v>0</v>
      </c>
    </row>
    <row r="78" spans="1:40" x14ac:dyDescent="0.25">
      <c r="A78" s="6" t="str">
        <f>IF(IFERROR(VLOOKUP($C78,#REF!,2,0),$C78)="Accion",CONCATENATE(IFERROR(VLOOKUP($C78,#REF!,2,0),$C78)," - ",E78),IFERROR(VLOOKUP($C78,#REF!,2,0),$C78))</f>
        <v>Samsara Inc.</v>
      </c>
      <c r="B78" s="9" t="s">
        <v>667</v>
      </c>
      <c r="C78" s="1" t="s">
        <v>104</v>
      </c>
      <c r="D78" s="1" t="s">
        <v>668</v>
      </c>
      <c r="E78" s="9" t="s">
        <v>62</v>
      </c>
      <c r="F78" s="9" t="s">
        <v>241</v>
      </c>
      <c r="G78" s="9" t="s">
        <v>263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/>
      <c r="V78" s="1"/>
      <c r="W78" s="6"/>
      <c r="X78" s="6"/>
      <c r="Y78" s="6"/>
      <c r="Z78" s="6"/>
      <c r="AA78" s="6"/>
      <c r="AB78" s="6" t="s">
        <v>667</v>
      </c>
      <c r="AC78" s="6" t="s">
        <v>265</v>
      </c>
      <c r="AD78" s="6"/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M78" s="6" t="e">
        <f>_xlfn.XLOOKUP($C78,#REF!,#REF!,"-",0)</f>
        <v>#REF!</v>
      </c>
      <c r="AN78" s="10">
        <f t="shared" si="1"/>
        <v>0</v>
      </c>
    </row>
    <row r="79" spans="1:40" x14ac:dyDescent="0.25">
      <c r="A79" s="6" t="str">
        <f>IF(IFERROR(VLOOKUP($C79,#REF!,2,0),$C79)="Accion",CONCATENATE(IFERROR(VLOOKUP($C79,#REF!,2,0),$C79)," - ",E79),IFERROR(VLOOKUP($C79,#REF!,2,0),$C79))</f>
        <v>Simplicity First Solutions LLC</v>
      </c>
      <c r="B79" s="9" t="s">
        <v>669</v>
      </c>
      <c r="C79" s="1" t="s">
        <v>107</v>
      </c>
      <c r="D79" s="1" t="s">
        <v>670</v>
      </c>
      <c r="E79" s="9" t="s">
        <v>62</v>
      </c>
      <c r="F79" s="9" t="s">
        <v>241</v>
      </c>
      <c r="G79" s="9" t="s">
        <v>263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/>
      <c r="V79" s="1"/>
      <c r="W79" s="6"/>
      <c r="X79" s="6"/>
      <c r="Y79" s="6"/>
      <c r="Z79" s="6"/>
      <c r="AA79" s="6"/>
      <c r="AB79" s="6" t="s">
        <v>669</v>
      </c>
      <c r="AC79" s="6" t="s">
        <v>265</v>
      </c>
      <c r="AD79" s="6"/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M79" s="6" t="e">
        <f>_xlfn.XLOOKUP($C79,#REF!,#REF!,"-",0)</f>
        <v>#REF!</v>
      </c>
      <c r="AN79" s="10">
        <f t="shared" si="1"/>
        <v>0</v>
      </c>
    </row>
    <row r="80" spans="1:40" x14ac:dyDescent="0.25">
      <c r="A80" s="6" t="str">
        <f>IF(IFERROR(VLOOKUP($C80,#REF!,2,0),$C80)="Accion",CONCATENATE(IFERROR(VLOOKUP($C80,#REF!,2,0),$C80)," - ",E80),IFERROR(VLOOKUP($C80,#REF!,2,0),$C80))</f>
        <v>Genfare, LLC</v>
      </c>
      <c r="B80" s="9" t="s">
        <v>671</v>
      </c>
      <c r="C80" s="1" t="s">
        <v>87</v>
      </c>
      <c r="D80" s="1" t="s">
        <v>672</v>
      </c>
      <c r="E80" s="9" t="s">
        <v>62</v>
      </c>
      <c r="F80" s="9" t="s">
        <v>241</v>
      </c>
      <c r="G80" s="9" t="s">
        <v>263</v>
      </c>
      <c r="H80" s="63">
        <v>0</v>
      </c>
      <c r="I80" s="63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/>
      <c r="V80" s="1"/>
      <c r="W80" s="6"/>
      <c r="X80" s="6"/>
      <c r="Y80" s="6"/>
      <c r="Z80" s="6"/>
      <c r="AA80" s="6"/>
      <c r="AB80" s="6" t="s">
        <v>671</v>
      </c>
      <c r="AC80" s="6" t="s">
        <v>265</v>
      </c>
      <c r="AD80" s="6"/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M80" s="6" t="e">
        <f>_xlfn.XLOOKUP($C80,#REF!,#REF!,"-",0)</f>
        <v>#REF!</v>
      </c>
      <c r="AN80" s="10">
        <f t="shared" si="1"/>
        <v>0</v>
      </c>
    </row>
    <row r="81" spans="1:40" x14ac:dyDescent="0.25">
      <c r="A81" s="6" t="str">
        <f>IF(IFERROR(VLOOKUP($C81,#REF!,2,0),$C81)="Accion",CONCATENATE(IFERROR(VLOOKUP($C81,#REF!,2,0),$C81)," - ",E81),IFERROR(VLOOKUP($C81,#REF!,2,0),$C81))</f>
        <v>Genfare, LLC</v>
      </c>
      <c r="B81" s="9" t="s">
        <v>673</v>
      </c>
      <c r="C81" s="1" t="s">
        <v>87</v>
      </c>
      <c r="D81" s="1" t="s">
        <v>674</v>
      </c>
      <c r="E81" s="9" t="s">
        <v>62</v>
      </c>
      <c r="F81" s="9" t="s">
        <v>241</v>
      </c>
      <c r="G81" s="9" t="s">
        <v>263</v>
      </c>
      <c r="H81" s="63">
        <v>0</v>
      </c>
      <c r="I81" s="63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/>
      <c r="V81" s="1"/>
      <c r="W81" s="6"/>
      <c r="X81" s="6"/>
      <c r="Y81" s="6"/>
      <c r="Z81" s="6"/>
      <c r="AA81" s="6"/>
      <c r="AB81" s="6" t="s">
        <v>673</v>
      </c>
      <c r="AC81" s="6" t="s">
        <v>265</v>
      </c>
      <c r="AD81" s="6"/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M81" s="6" t="e">
        <f>_xlfn.XLOOKUP($C81,#REF!,#REF!,"-",0)</f>
        <v>#REF!</v>
      </c>
      <c r="AN81" s="10">
        <f t="shared" si="1"/>
        <v>0</v>
      </c>
    </row>
    <row r="82" spans="1:40" x14ac:dyDescent="0.25">
      <c r="A82" s="6" t="str">
        <f>IF(IFERROR(VLOOKUP($C82,#REF!,2,0),$C82)="Accion",CONCATENATE(IFERROR(VLOOKUP($C82,#REF!,2,0),$C82)," - ",E82),IFERROR(VLOOKUP($C82,#REF!,2,0),$C82))</f>
        <v>CareCognitics LLC</v>
      </c>
      <c r="B82" s="9" t="s">
        <v>675</v>
      </c>
      <c r="C82" s="1" t="s">
        <v>81</v>
      </c>
      <c r="D82" s="1" t="s">
        <v>9</v>
      </c>
      <c r="E82" s="9" t="s">
        <v>62</v>
      </c>
      <c r="F82" s="9" t="s">
        <v>241</v>
      </c>
      <c r="G82" s="9" t="s">
        <v>263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/>
      <c r="V82" s="1"/>
      <c r="W82" s="6"/>
      <c r="X82" s="6"/>
      <c r="Y82" s="6"/>
      <c r="Z82" s="6"/>
      <c r="AA82" s="6"/>
      <c r="AB82" s="6" t="s">
        <v>675</v>
      </c>
      <c r="AC82" s="6" t="s">
        <v>265</v>
      </c>
      <c r="AD82" s="6"/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M82" s="6" t="e">
        <f>_xlfn.XLOOKUP($C82,#REF!,#REF!,"-",0)</f>
        <v>#REF!</v>
      </c>
      <c r="AN82" s="10">
        <f t="shared" si="1"/>
        <v>0</v>
      </c>
    </row>
    <row r="83" spans="1:40" x14ac:dyDescent="0.25">
      <c r="A83" s="6" t="str">
        <f>IF(IFERROR(VLOOKUP($C83,#REF!,2,0),$C83)="Accion",CONCATENATE(IFERROR(VLOOKUP($C83,#REF!,2,0),$C83)," - ",E83),IFERROR(VLOOKUP($C83,#REF!,2,0),$C83))</f>
        <v>Unittus Inc.</v>
      </c>
      <c r="B83" s="9" t="s">
        <v>203</v>
      </c>
      <c r="C83" s="1" t="s">
        <v>120</v>
      </c>
      <c r="D83" s="1" t="s">
        <v>48</v>
      </c>
      <c r="E83" s="9" t="s">
        <v>62</v>
      </c>
      <c r="F83" s="9" t="s">
        <v>241</v>
      </c>
      <c r="G83" s="9" t="s">
        <v>263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/>
      <c r="V83" s="1"/>
      <c r="W83" s="6"/>
      <c r="X83" s="6"/>
      <c r="Y83" s="6"/>
      <c r="Z83" s="6"/>
      <c r="AA83" s="6"/>
      <c r="AB83" s="6" t="s">
        <v>203</v>
      </c>
      <c r="AC83" s="6" t="s">
        <v>265</v>
      </c>
      <c r="AD83" s="6"/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M83" s="6" t="e">
        <f>_xlfn.XLOOKUP($C83,#REF!,#REF!,"-",0)</f>
        <v>#REF!</v>
      </c>
      <c r="AN83" s="10">
        <f t="shared" si="1"/>
        <v>0</v>
      </c>
    </row>
    <row r="84" spans="1:40" x14ac:dyDescent="0.25">
      <c r="A84" s="6" t="str">
        <f>IF(IFERROR(VLOOKUP($C84,#REF!,2,0),$C84)="Accion",CONCATENATE(IFERROR(VLOOKUP($C84,#REF!,2,0),$C84)," - ",E84),IFERROR(VLOOKUP($C84,#REF!,2,0),$C84))</f>
        <v>Genfare, LLC</v>
      </c>
      <c r="B84" s="9" t="s">
        <v>172</v>
      </c>
      <c r="C84" s="1" t="s">
        <v>87</v>
      </c>
      <c r="D84" s="1" t="s">
        <v>21</v>
      </c>
      <c r="E84" s="9" t="s">
        <v>62</v>
      </c>
      <c r="F84" s="9" t="s">
        <v>241</v>
      </c>
      <c r="G84" s="9" t="s">
        <v>263</v>
      </c>
      <c r="H84" s="63">
        <v>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/>
      <c r="V84" s="1"/>
      <c r="W84" s="6"/>
      <c r="X84" s="6"/>
      <c r="Y84" s="6"/>
      <c r="Z84" s="6"/>
      <c r="AA84" s="6"/>
      <c r="AB84" s="6" t="s">
        <v>172</v>
      </c>
      <c r="AC84" s="6" t="s">
        <v>265</v>
      </c>
      <c r="AD84" s="6"/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M84" s="6" t="e">
        <f>_xlfn.XLOOKUP($C84,#REF!,#REF!,"-",0)</f>
        <v>#REF!</v>
      </c>
      <c r="AN84" s="10">
        <f t="shared" si="1"/>
        <v>0</v>
      </c>
    </row>
    <row r="85" spans="1:40" x14ac:dyDescent="0.25">
      <c r="A85" s="6" t="str">
        <f>IF(IFERROR(VLOOKUP($C85,#REF!,2,0),$C85)="Accion",CONCATENATE(IFERROR(VLOOKUP($C85,#REF!,2,0),$C85)," - ",E85),IFERROR(VLOOKUP($C85,#REF!,2,0),$C85))</f>
        <v>TALUTION GROUP, LLC.</v>
      </c>
      <c r="B85" s="9" t="s">
        <v>193</v>
      </c>
      <c r="C85" s="1" t="s">
        <v>132</v>
      </c>
      <c r="D85" s="1" t="s">
        <v>51</v>
      </c>
      <c r="E85" s="9" t="s">
        <v>66</v>
      </c>
      <c r="F85" s="9" t="s">
        <v>241</v>
      </c>
      <c r="G85" s="9" t="s">
        <v>263</v>
      </c>
      <c r="H85" s="63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/>
      <c r="V85" s="1"/>
      <c r="W85" s="6"/>
      <c r="X85" s="6"/>
      <c r="Y85" s="6"/>
      <c r="Z85" s="6"/>
      <c r="AA85" s="6"/>
      <c r="AB85" s="6" t="s">
        <v>193</v>
      </c>
      <c r="AC85" s="6" t="s">
        <v>265</v>
      </c>
      <c r="AD85" s="6"/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M85" s="6" t="e">
        <f>_xlfn.XLOOKUP($C85,#REF!,#REF!,"-",0)</f>
        <v>#REF!</v>
      </c>
      <c r="AN85" s="10">
        <f t="shared" si="1"/>
        <v>0</v>
      </c>
    </row>
    <row r="86" spans="1:40" x14ac:dyDescent="0.25">
      <c r="A86" s="6" t="str">
        <f>IF(IFERROR(VLOOKUP($C86,#REF!,2,0),$C86)="Accion",CONCATENATE(IFERROR(VLOOKUP($C86,#REF!,2,0),$C86)," - ",E86),IFERROR(VLOOKUP($C86,#REF!,2,0),$C86))</f>
        <v>Johnson &amp; Johnson Services, Inc</v>
      </c>
      <c r="B86" s="9" t="s">
        <v>676</v>
      </c>
      <c r="C86" s="1" t="s">
        <v>539</v>
      </c>
      <c r="D86" s="1" t="s">
        <v>677</v>
      </c>
      <c r="E86" s="9" t="s">
        <v>62</v>
      </c>
      <c r="F86" s="9" t="s">
        <v>241</v>
      </c>
      <c r="G86" s="9" t="s">
        <v>263</v>
      </c>
      <c r="H86" s="63">
        <v>0</v>
      </c>
      <c r="I86" s="63">
        <v>0</v>
      </c>
      <c r="J86" s="63">
        <v>0</v>
      </c>
      <c r="K86" s="63">
        <v>0</v>
      </c>
      <c r="L86" s="63">
        <v>0</v>
      </c>
      <c r="M86" s="63">
        <v>0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3">
        <v>0</v>
      </c>
      <c r="T86" s="63">
        <v>0</v>
      </c>
      <c r="U86" s="63"/>
      <c r="V86" s="1"/>
      <c r="W86" s="6"/>
      <c r="X86" s="6"/>
      <c r="Y86" s="6"/>
      <c r="Z86" s="6"/>
      <c r="AA86" s="6"/>
      <c r="AB86" s="6" t="s">
        <v>676</v>
      </c>
      <c r="AC86" s="6" t="s">
        <v>265</v>
      </c>
      <c r="AD86" s="6"/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M86" s="6" t="e">
        <f>_xlfn.XLOOKUP($C86,#REF!,#REF!,"-",0)</f>
        <v>#REF!</v>
      </c>
      <c r="AN86" s="10">
        <f t="shared" si="1"/>
        <v>0</v>
      </c>
    </row>
    <row r="87" spans="1:40" x14ac:dyDescent="0.25">
      <c r="A87" s="6" t="str">
        <f>IF(IFERROR(VLOOKUP($C87,#REF!,2,0),$C87)="Accion",CONCATENATE(IFERROR(VLOOKUP($C87,#REF!,2,0),$C87)," - ",E87),IFERROR(VLOOKUP($C87,#REF!,2,0),$C87))</f>
        <v>Refine IT Consulting, LLC.</v>
      </c>
      <c r="B87" s="9" t="s">
        <v>190</v>
      </c>
      <c r="C87" s="1" t="s">
        <v>134</v>
      </c>
      <c r="D87" s="1" t="s">
        <v>53</v>
      </c>
      <c r="E87" s="9" t="s">
        <v>62</v>
      </c>
      <c r="F87" s="9" t="s">
        <v>241</v>
      </c>
      <c r="G87" s="9" t="s">
        <v>263</v>
      </c>
      <c r="H87" s="63">
        <v>0</v>
      </c>
      <c r="I87" s="63">
        <v>0</v>
      </c>
      <c r="J87" s="63">
        <v>0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3">
        <v>0</v>
      </c>
      <c r="T87" s="63">
        <v>0</v>
      </c>
      <c r="U87" s="63"/>
      <c r="V87" s="1"/>
      <c r="W87" s="6"/>
      <c r="X87" s="6"/>
      <c r="Y87" s="6"/>
      <c r="Z87" s="6"/>
      <c r="AA87" s="6"/>
      <c r="AB87" s="6" t="s">
        <v>190</v>
      </c>
      <c r="AC87" s="6" t="s">
        <v>265</v>
      </c>
      <c r="AD87" s="6"/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M87" s="6" t="e">
        <f>_xlfn.XLOOKUP($C87,#REF!,#REF!,"-",0)</f>
        <v>#REF!</v>
      </c>
      <c r="AN87" s="10">
        <f t="shared" si="1"/>
        <v>0</v>
      </c>
    </row>
    <row r="88" spans="1:40" x14ac:dyDescent="0.25">
      <c r="A88" s="6" t="str">
        <f>IF(IFERROR(VLOOKUP($C88,#REF!,2,0),$C88)="Accion",CONCATENATE(IFERROR(VLOOKUP($C88,#REF!,2,0),$C88)," - ",E88),IFERROR(VLOOKUP($C88,#REF!,2,0),$C88))</f>
        <v>Intelebee LLC</v>
      </c>
      <c r="B88" s="9" t="s">
        <v>678</v>
      </c>
      <c r="C88" s="1" t="s">
        <v>94</v>
      </c>
      <c r="D88" s="1" t="s">
        <v>679</v>
      </c>
      <c r="E88" s="9" t="s">
        <v>62</v>
      </c>
      <c r="F88" s="9" t="s">
        <v>241</v>
      </c>
      <c r="G88" s="9" t="s">
        <v>263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/>
      <c r="V88" s="1"/>
      <c r="W88" s="6"/>
      <c r="X88" s="6"/>
      <c r="Y88" s="6"/>
      <c r="Z88" s="6"/>
      <c r="AA88" s="6"/>
      <c r="AB88" s="6" t="s">
        <v>678</v>
      </c>
      <c r="AC88" s="6" t="s">
        <v>265</v>
      </c>
      <c r="AD88" s="6"/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M88" s="6" t="e">
        <f>_xlfn.XLOOKUP($C88,#REF!,#REF!,"-",0)</f>
        <v>#REF!</v>
      </c>
      <c r="AN88" s="10">
        <f t="shared" si="1"/>
        <v>0</v>
      </c>
    </row>
    <row r="89" spans="1:40" x14ac:dyDescent="0.25">
      <c r="A89" s="6" t="str">
        <f>IF(IFERROR(VLOOKUP($C89,#REF!,2,0),$C89)="Accion",CONCATENATE(IFERROR(VLOOKUP($C89,#REF!,2,0),$C89)," - ",E89),IFERROR(VLOOKUP($C89,#REF!,2,0),$C89))</f>
        <v>LaborEdge LLC</v>
      </c>
      <c r="B89" s="9" t="s">
        <v>680</v>
      </c>
      <c r="C89" s="1" t="s">
        <v>70</v>
      </c>
      <c r="D89" s="1" t="s">
        <v>681</v>
      </c>
      <c r="E89" s="9" t="s">
        <v>62</v>
      </c>
      <c r="F89" s="9" t="s">
        <v>241</v>
      </c>
      <c r="G89" s="9" t="s">
        <v>263</v>
      </c>
      <c r="H89" s="63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/>
      <c r="V89" s="1"/>
      <c r="W89" s="6"/>
      <c r="X89" s="6"/>
      <c r="Y89" s="6"/>
      <c r="Z89" s="6"/>
      <c r="AA89" s="6"/>
      <c r="AB89" s="6" t="s">
        <v>680</v>
      </c>
      <c r="AC89" s="6" t="s">
        <v>265</v>
      </c>
      <c r="AD89" s="6"/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M89" s="6" t="e">
        <f>_xlfn.XLOOKUP($C89,#REF!,#REF!,"-",0)</f>
        <v>#REF!</v>
      </c>
      <c r="AN89" s="10">
        <f t="shared" si="1"/>
        <v>0</v>
      </c>
    </row>
    <row r="90" spans="1:40" x14ac:dyDescent="0.25">
      <c r="A90" s="6" t="str">
        <f>IF(IFERROR(VLOOKUP($C90,#REF!,2,0),$C90)="Accion",CONCATENATE(IFERROR(VLOOKUP($C90,#REF!,2,0),$C90)," - ",E90),IFERROR(VLOOKUP($C90,#REF!,2,0),$C90))</f>
        <v>TALUTION GROUP, LLC.</v>
      </c>
      <c r="B90" s="9" t="s">
        <v>412</v>
      </c>
      <c r="C90" s="1" t="s">
        <v>132</v>
      </c>
      <c r="D90" s="1" t="s">
        <v>413</v>
      </c>
      <c r="E90" s="9" t="s">
        <v>66</v>
      </c>
      <c r="F90" s="9" t="s">
        <v>241</v>
      </c>
      <c r="G90" s="9" t="s">
        <v>263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/>
      <c r="V90" s="1"/>
      <c r="W90" s="6"/>
      <c r="X90" s="6"/>
      <c r="Y90" s="6"/>
      <c r="Z90" s="6"/>
      <c r="AA90" s="6"/>
      <c r="AB90" s="6" t="s">
        <v>412</v>
      </c>
      <c r="AC90" s="6" t="s">
        <v>265</v>
      </c>
      <c r="AD90" s="6"/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M90" s="6" t="e">
        <f>_xlfn.XLOOKUP($C90,#REF!,#REF!,"-",0)</f>
        <v>#REF!</v>
      </c>
      <c r="AN90" s="10">
        <f t="shared" si="1"/>
        <v>0</v>
      </c>
    </row>
    <row r="91" spans="1:40" x14ac:dyDescent="0.25">
      <c r="A91" s="6" t="str">
        <f>IF(IFERROR(VLOOKUP($C91,#REF!,2,0),$C91)="Accion",CONCATENATE(IFERROR(VLOOKUP($C91,#REF!,2,0),$C91)," - ",E91),IFERROR(VLOOKUP($C91,#REF!,2,0),$C91))</f>
        <v>Organisation for Prohibition of Chemical Weapons</v>
      </c>
      <c r="B91" s="9" t="s">
        <v>189</v>
      </c>
      <c r="C91" s="1" t="s">
        <v>71</v>
      </c>
      <c r="D91" s="1" t="s">
        <v>18</v>
      </c>
      <c r="E91" s="9" t="s">
        <v>66</v>
      </c>
      <c r="F91" s="9" t="s">
        <v>238</v>
      </c>
      <c r="G91" s="9" t="s">
        <v>263</v>
      </c>
      <c r="H91" s="63">
        <v>0</v>
      </c>
      <c r="I91" s="63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/>
      <c r="V91" s="1"/>
      <c r="W91" s="6"/>
      <c r="X91" s="6"/>
      <c r="Y91" s="6"/>
      <c r="Z91" s="6"/>
      <c r="AA91" s="6"/>
      <c r="AB91" s="6" t="s">
        <v>189</v>
      </c>
      <c r="AC91" s="6" t="s">
        <v>264</v>
      </c>
      <c r="AD91" s="6"/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M91" s="6" t="e">
        <f>_xlfn.XLOOKUP($C91,#REF!,#REF!,"-",0)</f>
        <v>#REF!</v>
      </c>
      <c r="AN91" s="10">
        <f t="shared" si="1"/>
        <v>0</v>
      </c>
    </row>
    <row r="92" spans="1:40" x14ac:dyDescent="0.25">
      <c r="A92" s="6" t="str">
        <f>IF(IFERROR(VLOOKUP($C92,#REF!,2,0),$C92)="Accion",CONCATENATE(IFERROR(VLOOKUP($C92,#REF!,2,0),$C92)," - ",E92),IFERROR(VLOOKUP($C92,#REF!,2,0),$C92))</f>
        <v>Genfare, LLC</v>
      </c>
      <c r="B92" s="9" t="s">
        <v>173</v>
      </c>
      <c r="C92" s="1" t="s">
        <v>87</v>
      </c>
      <c r="D92" s="1" t="s">
        <v>17</v>
      </c>
      <c r="E92" s="9" t="s">
        <v>62</v>
      </c>
      <c r="F92" s="9" t="s">
        <v>241</v>
      </c>
      <c r="G92" s="9" t="s">
        <v>263</v>
      </c>
      <c r="H92" s="63">
        <v>0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/>
      <c r="V92" s="1"/>
      <c r="W92" s="6"/>
      <c r="X92" s="6"/>
      <c r="Y92" s="6"/>
      <c r="Z92" s="6"/>
      <c r="AA92" s="6"/>
      <c r="AB92" s="6" t="s">
        <v>173</v>
      </c>
      <c r="AC92" s="6" t="s">
        <v>265</v>
      </c>
      <c r="AD92" s="6"/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M92" s="6" t="e">
        <f>_xlfn.XLOOKUP($C92,#REF!,#REF!,"-",0)</f>
        <v>#REF!</v>
      </c>
      <c r="AN92" s="10">
        <f t="shared" si="1"/>
        <v>0</v>
      </c>
    </row>
    <row r="93" spans="1:40" x14ac:dyDescent="0.25">
      <c r="A93" s="6" t="str">
        <f>IF(IFERROR(VLOOKUP($C93,#REF!,2,0),$C93)="Accion",CONCATENATE(IFERROR(VLOOKUP($C93,#REF!,2,0),$C93)," - ",E93),IFERROR(VLOOKUP($C93,#REF!,2,0),$C93))</f>
        <v>Abbott Laboratories</v>
      </c>
      <c r="B93" s="9" t="s">
        <v>682</v>
      </c>
      <c r="C93" s="1" t="s">
        <v>147</v>
      </c>
      <c r="D93" s="1" t="s">
        <v>683</v>
      </c>
      <c r="E93" s="9" t="s">
        <v>62</v>
      </c>
      <c r="F93" s="9" t="s">
        <v>241</v>
      </c>
      <c r="G93" s="9" t="s">
        <v>263</v>
      </c>
      <c r="H93" s="63">
        <v>0</v>
      </c>
      <c r="I93" s="63">
        <v>0</v>
      </c>
      <c r="J93" s="63">
        <v>0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v>0</v>
      </c>
      <c r="R93" s="63">
        <v>0</v>
      </c>
      <c r="S93" s="63">
        <v>0</v>
      </c>
      <c r="T93" s="63">
        <v>0</v>
      </c>
      <c r="U93" s="63"/>
      <c r="V93" s="1"/>
      <c r="W93" s="6"/>
      <c r="X93" s="6"/>
      <c r="Y93" s="6"/>
      <c r="Z93" s="6"/>
      <c r="AA93" s="6"/>
      <c r="AB93" s="6" t="s">
        <v>682</v>
      </c>
      <c r="AC93" s="6" t="s">
        <v>265</v>
      </c>
      <c r="AD93" s="6"/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M93" s="6" t="e">
        <f>_xlfn.XLOOKUP($C93,#REF!,#REF!,"-",0)</f>
        <v>#REF!</v>
      </c>
      <c r="AN93" s="10">
        <f t="shared" si="1"/>
        <v>0</v>
      </c>
    </row>
    <row r="94" spans="1:40" x14ac:dyDescent="0.25">
      <c r="A94" s="6" t="str">
        <f>IF(IFERROR(VLOOKUP($C94,#REF!,2,0),$C94)="Accion",CONCATENATE(IFERROR(VLOOKUP($C94,#REF!,2,0),$C94)," - ",E94),IFERROR(VLOOKUP($C94,#REF!,2,0),$C94))</f>
        <v>AppZen,Inc</v>
      </c>
      <c r="B94" s="9" t="s">
        <v>157</v>
      </c>
      <c r="C94" s="1" t="s">
        <v>105</v>
      </c>
      <c r="D94" s="1" t="s">
        <v>27</v>
      </c>
      <c r="E94" s="9" t="s">
        <v>62</v>
      </c>
      <c r="F94" s="9" t="s">
        <v>241</v>
      </c>
      <c r="G94" s="9" t="s">
        <v>263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/>
      <c r="V94" s="1"/>
      <c r="W94" s="6"/>
      <c r="X94" s="6"/>
      <c r="Y94" s="6"/>
      <c r="Z94" s="6"/>
      <c r="AA94" s="6"/>
      <c r="AB94" s="6" t="s">
        <v>157</v>
      </c>
      <c r="AC94" s="6" t="s">
        <v>265</v>
      </c>
      <c r="AD94" s="6"/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M94" s="6" t="e">
        <f>_xlfn.XLOOKUP($C94,#REF!,#REF!,"-",0)</f>
        <v>#REF!</v>
      </c>
      <c r="AN94" s="10">
        <f t="shared" si="1"/>
        <v>0</v>
      </c>
    </row>
    <row r="95" spans="1:40" x14ac:dyDescent="0.25">
      <c r="A95" s="6" t="str">
        <f>IF(IFERROR(VLOOKUP($C95,#REF!,2,0),$C95)="Accion",CONCATENATE(IFERROR(VLOOKUP($C95,#REF!,2,0),$C95)," - ",E95),IFERROR(VLOOKUP($C95,#REF!,2,0),$C95))</f>
        <v>UNICEF</v>
      </c>
      <c r="B95" s="9" t="s">
        <v>543</v>
      </c>
      <c r="C95" s="1" t="s">
        <v>74</v>
      </c>
      <c r="D95" s="1" t="s">
        <v>544</v>
      </c>
      <c r="E95" s="9" t="s">
        <v>66</v>
      </c>
      <c r="F95" s="9" t="s">
        <v>238</v>
      </c>
      <c r="G95" s="9" t="s">
        <v>263</v>
      </c>
      <c r="H95" s="63">
        <v>0</v>
      </c>
      <c r="I95" s="63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/>
      <c r="V95" s="1"/>
      <c r="W95" s="6"/>
      <c r="X95" s="6"/>
      <c r="Y95" s="6"/>
      <c r="Z95" s="6"/>
      <c r="AA95" s="6"/>
      <c r="AB95" s="6" t="s">
        <v>543</v>
      </c>
      <c r="AC95" s="6" t="s">
        <v>264</v>
      </c>
      <c r="AD95" s="6"/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M95" s="6" t="e">
        <f>_xlfn.XLOOKUP($C95,#REF!,#REF!,"-",0)</f>
        <v>#REF!</v>
      </c>
      <c r="AN95" s="10">
        <f t="shared" si="1"/>
        <v>0</v>
      </c>
    </row>
    <row r="96" spans="1:40" x14ac:dyDescent="0.25">
      <c r="A96" s="6" t="str">
        <f>IF(IFERROR(VLOOKUP($C96,#REF!,2,0),$C96)="Accion",CONCATENATE(IFERROR(VLOOKUP($C96,#REF!,2,0),$C96)," - ",E96),IFERROR(VLOOKUP($C96,#REF!,2,0),$C96))</f>
        <v>Samsara Inc.</v>
      </c>
      <c r="B96" s="9" t="s">
        <v>684</v>
      </c>
      <c r="C96" s="1" t="s">
        <v>104</v>
      </c>
      <c r="D96" s="1" t="s">
        <v>685</v>
      </c>
      <c r="E96" s="9" t="s">
        <v>62</v>
      </c>
      <c r="F96" s="9" t="s">
        <v>241</v>
      </c>
      <c r="G96" s="9" t="s">
        <v>263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/>
      <c r="V96" s="1"/>
      <c r="W96" s="6"/>
      <c r="X96" s="6"/>
      <c r="Y96" s="6"/>
      <c r="Z96" s="6"/>
      <c r="AA96" s="6"/>
      <c r="AB96" s="6" t="s">
        <v>684</v>
      </c>
      <c r="AC96" s="6" t="s">
        <v>265</v>
      </c>
      <c r="AD96" s="6"/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M96" s="6" t="e">
        <f>_xlfn.XLOOKUP($C96,#REF!,#REF!,"-",0)</f>
        <v>#REF!</v>
      </c>
      <c r="AN96" s="10">
        <f t="shared" si="1"/>
        <v>0</v>
      </c>
    </row>
    <row r="97" spans="1:40" x14ac:dyDescent="0.25">
      <c r="A97" s="6" t="str">
        <f>IF(IFERROR(VLOOKUP($C97,#REF!,2,0),$C97)="Accion",CONCATENATE(IFERROR(VLOOKUP($C97,#REF!,2,0),$C97)," - ",E97),IFERROR(VLOOKUP($C97,#REF!,2,0),$C97))</f>
        <v>DPR Consulting Limited</v>
      </c>
      <c r="B97" s="9" t="s">
        <v>686</v>
      </c>
      <c r="C97" s="1" t="s">
        <v>126</v>
      </c>
      <c r="D97" s="1" t="s">
        <v>687</v>
      </c>
      <c r="E97" s="9" t="s">
        <v>62</v>
      </c>
      <c r="F97" s="9" t="s">
        <v>238</v>
      </c>
      <c r="G97" s="9" t="s">
        <v>263</v>
      </c>
      <c r="H97" s="63">
        <v>0</v>
      </c>
      <c r="I97" s="63">
        <v>0</v>
      </c>
      <c r="J97" s="63">
        <v>0</v>
      </c>
      <c r="K97" s="63">
        <v>0</v>
      </c>
      <c r="L97" s="63">
        <v>0</v>
      </c>
      <c r="M97" s="63">
        <v>0</v>
      </c>
      <c r="N97" s="63">
        <v>0</v>
      </c>
      <c r="O97" s="63">
        <v>0</v>
      </c>
      <c r="P97" s="63">
        <v>0</v>
      </c>
      <c r="Q97" s="63">
        <v>0</v>
      </c>
      <c r="R97" s="63">
        <v>0</v>
      </c>
      <c r="S97" s="63">
        <v>0</v>
      </c>
      <c r="T97" s="63">
        <v>0</v>
      </c>
      <c r="U97" s="63"/>
      <c r="V97" s="1"/>
      <c r="W97" s="6"/>
      <c r="X97" s="6"/>
      <c r="Y97" s="6"/>
      <c r="Z97" s="6"/>
      <c r="AA97" s="6"/>
      <c r="AB97" s="6" t="s">
        <v>686</v>
      </c>
      <c r="AC97" s="6" t="s">
        <v>264</v>
      </c>
      <c r="AD97" s="6"/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M97" s="6" t="e">
        <f>_xlfn.XLOOKUP($C97,#REF!,#REF!,"-",0)</f>
        <v>#REF!</v>
      </c>
      <c r="AN97" s="10">
        <f t="shared" si="1"/>
        <v>0</v>
      </c>
    </row>
    <row r="98" spans="1:40" x14ac:dyDescent="0.25">
      <c r="A98" s="6" t="str">
        <f>IF(IFERROR(VLOOKUP($C98,#REF!,2,0),$C98)="Accion",CONCATENATE(IFERROR(VLOOKUP($C98,#REF!,2,0),$C98)," - ",E98),IFERROR(VLOOKUP($C98,#REF!,2,0),$C98))</f>
        <v>Cross Country Healthcare Inc.</v>
      </c>
      <c r="B98" s="9" t="s">
        <v>508</v>
      </c>
      <c r="C98" s="1" t="s">
        <v>459</v>
      </c>
      <c r="D98" s="1" t="s">
        <v>509</v>
      </c>
      <c r="E98" s="9" t="s">
        <v>62</v>
      </c>
      <c r="F98" s="9" t="s">
        <v>241</v>
      </c>
      <c r="G98" s="9" t="s">
        <v>263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/>
      <c r="V98" s="1"/>
      <c r="W98" s="6"/>
      <c r="X98" s="6"/>
      <c r="Y98" s="6"/>
      <c r="Z98" s="6"/>
      <c r="AA98" s="6"/>
      <c r="AB98" s="6" t="s">
        <v>508</v>
      </c>
      <c r="AC98" s="6" t="s">
        <v>265</v>
      </c>
      <c r="AD98" s="6"/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M98" s="6" t="e">
        <f>_xlfn.XLOOKUP($C98,#REF!,#REF!,"-",0)</f>
        <v>#REF!</v>
      </c>
      <c r="AN98" s="10">
        <f t="shared" si="1"/>
        <v>0</v>
      </c>
    </row>
    <row r="99" spans="1:40" x14ac:dyDescent="0.25">
      <c r="A99" s="6" t="str">
        <f>IF(IFERROR(VLOOKUP($C99,#REF!,2,0),$C99)="Accion",CONCATENATE(IFERROR(VLOOKUP($C99,#REF!,2,0),$C99)," - ",E99),IFERROR(VLOOKUP($C99,#REF!,2,0),$C99))</f>
        <v>UNICEF</v>
      </c>
      <c r="B99" s="9" t="s">
        <v>196</v>
      </c>
      <c r="C99" s="1" t="s">
        <v>74</v>
      </c>
      <c r="D99" s="1" t="s">
        <v>11</v>
      </c>
      <c r="E99" s="9" t="s">
        <v>66</v>
      </c>
      <c r="F99" s="9" t="s">
        <v>238</v>
      </c>
      <c r="G99" s="9" t="s">
        <v>263</v>
      </c>
      <c r="H99" s="63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/>
      <c r="V99" s="1"/>
      <c r="W99" s="6"/>
      <c r="X99" s="6"/>
      <c r="Y99" s="6"/>
      <c r="Z99" s="6"/>
      <c r="AA99" s="6"/>
      <c r="AB99" s="6" t="s">
        <v>196</v>
      </c>
      <c r="AC99" s="6" t="s">
        <v>264</v>
      </c>
      <c r="AD99" s="6"/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M99" s="6" t="e">
        <f>_xlfn.XLOOKUP($C99,#REF!,#REF!,"-",0)</f>
        <v>#REF!</v>
      </c>
      <c r="AN99" s="10">
        <f t="shared" si="1"/>
        <v>0</v>
      </c>
    </row>
    <row r="100" spans="1:40" x14ac:dyDescent="0.25">
      <c r="A100" s="6" t="str">
        <f>IF(IFERROR(VLOOKUP($C100,#REF!,2,0),$C100)="Accion",CONCATENATE(IFERROR(VLOOKUP($C100,#REF!,2,0),$C100)," - ",E100),IFERROR(VLOOKUP($C100,#REF!,2,0),$C100))</f>
        <v>International Computing Centre</v>
      </c>
      <c r="B100" s="9" t="s">
        <v>688</v>
      </c>
      <c r="C100" s="1" t="s">
        <v>82</v>
      </c>
      <c r="D100" s="1" t="s">
        <v>689</v>
      </c>
      <c r="E100" s="9" t="s">
        <v>66</v>
      </c>
      <c r="F100" s="9" t="s">
        <v>241</v>
      </c>
      <c r="G100" s="9" t="s">
        <v>263</v>
      </c>
      <c r="H100" s="63">
        <v>0</v>
      </c>
      <c r="I100" s="63">
        <v>0</v>
      </c>
      <c r="J100" s="63">
        <v>0</v>
      </c>
      <c r="K100" s="63">
        <v>0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/>
      <c r="V100" s="1"/>
      <c r="W100" s="6"/>
      <c r="X100" s="6"/>
      <c r="Y100" s="6"/>
      <c r="Z100" s="6"/>
      <c r="AA100" s="6"/>
      <c r="AB100" s="6" t="s">
        <v>688</v>
      </c>
      <c r="AC100" s="6" t="s">
        <v>265</v>
      </c>
      <c r="AD100" s="6"/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M100" s="6" t="e">
        <f>_xlfn.XLOOKUP($C100,#REF!,#REF!,"-",0)</f>
        <v>#REF!</v>
      </c>
      <c r="AN100" s="10">
        <f t="shared" si="1"/>
        <v>0</v>
      </c>
    </row>
    <row r="101" spans="1:40" x14ac:dyDescent="0.25">
      <c r="A101" s="6" t="str">
        <f>IF(IFERROR(VLOOKUP($C101,#REF!,2,0),$C101)="Accion",CONCATENATE(IFERROR(VLOOKUP($C101,#REF!,2,0),$C101)," - ",E101),IFERROR(VLOOKUP($C101,#REF!,2,0),$C101))</f>
        <v>UNICEF</v>
      </c>
      <c r="B101" s="9" t="s">
        <v>198</v>
      </c>
      <c r="C101" s="1" t="s">
        <v>74</v>
      </c>
      <c r="D101" s="1" t="s">
        <v>6</v>
      </c>
      <c r="E101" s="9" t="s">
        <v>66</v>
      </c>
      <c r="F101" s="9" t="s">
        <v>238</v>
      </c>
      <c r="G101" s="9" t="s">
        <v>263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/>
      <c r="V101" s="1"/>
      <c r="W101" s="6"/>
      <c r="X101" s="6"/>
      <c r="Y101" s="6"/>
      <c r="Z101" s="6"/>
      <c r="AA101" s="6"/>
      <c r="AB101" s="6" t="s">
        <v>198</v>
      </c>
      <c r="AC101" s="6" t="s">
        <v>264</v>
      </c>
      <c r="AD101" s="6"/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M101" s="6" t="e">
        <f>_xlfn.XLOOKUP($C101,#REF!,#REF!,"-",0)</f>
        <v>#REF!</v>
      </c>
      <c r="AN101" s="10">
        <f t="shared" si="1"/>
        <v>0</v>
      </c>
    </row>
    <row r="102" spans="1:40" x14ac:dyDescent="0.25">
      <c r="A102" s="6" t="str">
        <f>IF(IFERROR(VLOOKUP($C102,#REF!,2,0),$C102)="Accion",CONCATENATE(IFERROR(VLOOKUP($C102,#REF!,2,0),$C102)," - ",E102),IFERROR(VLOOKUP($C102,#REF!,2,0),$C102))</f>
        <v>UNICEF</v>
      </c>
      <c r="B102" s="9" t="s">
        <v>690</v>
      </c>
      <c r="C102" s="1" t="s">
        <v>74</v>
      </c>
      <c r="D102" s="1" t="s">
        <v>691</v>
      </c>
      <c r="E102" s="9" t="s">
        <v>66</v>
      </c>
      <c r="F102" s="9" t="s">
        <v>238</v>
      </c>
      <c r="G102" s="9" t="s">
        <v>263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/>
      <c r="V102" s="1"/>
      <c r="W102" s="6"/>
      <c r="X102" s="6"/>
      <c r="Y102" s="6"/>
      <c r="Z102" s="6"/>
      <c r="AA102" s="6"/>
      <c r="AB102" s="6" t="s">
        <v>690</v>
      </c>
      <c r="AC102" s="6" t="s">
        <v>264</v>
      </c>
      <c r="AD102" s="6"/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M102" s="6" t="e">
        <f>_xlfn.XLOOKUP($C102,#REF!,#REF!,"-",0)</f>
        <v>#REF!</v>
      </c>
      <c r="AN102" s="10">
        <f t="shared" si="1"/>
        <v>0</v>
      </c>
    </row>
    <row r="103" spans="1:40" x14ac:dyDescent="0.25">
      <c r="A103" s="6" t="str">
        <f>IF(IFERROR(VLOOKUP($C103,#REF!,2,0),$C103)="Accion",CONCATENATE(IFERROR(VLOOKUP($C103,#REF!,2,0),$C103)," - ",E103),IFERROR(VLOOKUP($C103,#REF!,2,0),$C103))</f>
        <v>UNICEF</v>
      </c>
      <c r="B103" s="9" t="s">
        <v>199</v>
      </c>
      <c r="C103" s="1" t="s">
        <v>74</v>
      </c>
      <c r="D103" s="1" t="s">
        <v>28</v>
      </c>
      <c r="E103" s="9" t="s">
        <v>66</v>
      </c>
      <c r="F103" s="9" t="s">
        <v>238</v>
      </c>
      <c r="G103" s="9" t="s">
        <v>263</v>
      </c>
      <c r="H103" s="63">
        <v>0</v>
      </c>
      <c r="I103" s="63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v>0</v>
      </c>
      <c r="R103" s="63">
        <v>0</v>
      </c>
      <c r="S103" s="63">
        <v>0</v>
      </c>
      <c r="T103" s="63">
        <v>0</v>
      </c>
      <c r="U103" s="63"/>
      <c r="V103" s="1"/>
      <c r="W103" s="6"/>
      <c r="X103" s="6"/>
      <c r="Y103" s="6"/>
      <c r="Z103" s="6"/>
      <c r="AA103" s="6"/>
      <c r="AB103" s="6" t="s">
        <v>199</v>
      </c>
      <c r="AC103" s="6" t="s">
        <v>264</v>
      </c>
      <c r="AD103" s="6"/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M103" s="6" t="e">
        <f>_xlfn.XLOOKUP($C103,#REF!,#REF!,"-",0)</f>
        <v>#REF!</v>
      </c>
      <c r="AN103" s="10">
        <f t="shared" si="1"/>
        <v>0</v>
      </c>
    </row>
    <row r="104" spans="1:40" x14ac:dyDescent="0.25">
      <c r="A104" s="6" t="str">
        <f>IF(IFERROR(VLOOKUP($C104,#REF!,2,0),$C104)="Accion",CONCATENATE(IFERROR(VLOOKUP($C104,#REF!,2,0),$C104)," - ",E104),IFERROR(VLOOKUP($C104,#REF!,2,0),$C104))</f>
        <v>UNICEF</v>
      </c>
      <c r="B104" s="9" t="s">
        <v>541</v>
      </c>
      <c r="C104" s="1" t="s">
        <v>74</v>
      </c>
      <c r="D104" s="1" t="s">
        <v>542</v>
      </c>
      <c r="E104" s="9" t="s">
        <v>66</v>
      </c>
      <c r="F104" s="9" t="s">
        <v>238</v>
      </c>
      <c r="G104" s="9" t="s">
        <v>263</v>
      </c>
      <c r="H104" s="63">
        <v>0</v>
      </c>
      <c r="I104" s="63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v>0</v>
      </c>
      <c r="R104" s="63">
        <v>0</v>
      </c>
      <c r="S104" s="63">
        <v>0</v>
      </c>
      <c r="T104" s="63">
        <v>0</v>
      </c>
      <c r="U104" s="63"/>
      <c r="V104" s="1"/>
      <c r="W104" s="6"/>
      <c r="X104" s="6"/>
      <c r="Y104" s="6"/>
      <c r="Z104" s="6"/>
      <c r="AA104" s="6"/>
      <c r="AB104" s="6" t="s">
        <v>541</v>
      </c>
      <c r="AC104" s="6" t="s">
        <v>264</v>
      </c>
      <c r="AD104" s="6"/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M104" s="6" t="e">
        <f>_xlfn.XLOOKUP($C104,#REF!,#REF!,"-",0)</f>
        <v>#REF!</v>
      </c>
      <c r="AN104" s="10">
        <f t="shared" si="1"/>
        <v>0</v>
      </c>
    </row>
    <row r="105" spans="1:40" x14ac:dyDescent="0.25">
      <c r="A105" s="6" t="str">
        <f>IF(IFERROR(VLOOKUP($C105,#REF!,2,0),$C105)="Accion",CONCATENATE(IFERROR(VLOOKUP($C105,#REF!,2,0),$C105)," - ",E105),IFERROR(VLOOKUP($C105,#REF!,2,0),$C105))</f>
        <v>International Computing Centre</v>
      </c>
      <c r="B105" s="9" t="s">
        <v>195</v>
      </c>
      <c r="C105" s="1" t="s">
        <v>82</v>
      </c>
      <c r="D105" s="1" t="s">
        <v>31</v>
      </c>
      <c r="E105" s="9" t="s">
        <v>66</v>
      </c>
      <c r="F105" s="9" t="s">
        <v>241</v>
      </c>
      <c r="G105" s="9" t="s">
        <v>263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/>
      <c r="V105" s="1"/>
      <c r="W105" s="6"/>
      <c r="X105" s="6"/>
      <c r="Y105" s="6"/>
      <c r="Z105" s="6"/>
      <c r="AA105" s="6"/>
      <c r="AB105" s="6" t="s">
        <v>195</v>
      </c>
      <c r="AC105" s="6" t="s">
        <v>265</v>
      </c>
      <c r="AD105" s="6"/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M105" s="6" t="e">
        <f>_xlfn.XLOOKUP($C105,#REF!,#REF!,"-",0)</f>
        <v>#REF!</v>
      </c>
      <c r="AN105" s="10">
        <f t="shared" si="1"/>
        <v>0</v>
      </c>
    </row>
    <row r="106" spans="1:40" x14ac:dyDescent="0.25">
      <c r="A106" s="6" t="str">
        <f>IF(IFERROR(VLOOKUP($C106,#REF!,2,0),$C106)="Accion",CONCATENATE(IFERROR(VLOOKUP($C106,#REF!,2,0),$C106)," - ",E106),IFERROR(VLOOKUP($C106,#REF!,2,0),$C106))</f>
        <v>International Computing Centre</v>
      </c>
      <c r="B106" s="9" t="s">
        <v>194</v>
      </c>
      <c r="C106" s="1" t="s">
        <v>82</v>
      </c>
      <c r="D106" s="1" t="s">
        <v>19</v>
      </c>
      <c r="E106" s="9" t="s">
        <v>66</v>
      </c>
      <c r="F106" s="9" t="s">
        <v>241</v>
      </c>
      <c r="G106" s="9" t="s">
        <v>263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/>
      <c r="V106" s="1"/>
      <c r="W106" s="6"/>
      <c r="X106" s="6"/>
      <c r="Y106" s="6"/>
      <c r="Z106" s="6"/>
      <c r="AA106" s="6"/>
      <c r="AB106" s="6" t="s">
        <v>194</v>
      </c>
      <c r="AC106" s="6" t="s">
        <v>265</v>
      </c>
      <c r="AD106" s="6"/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M106" s="6" t="e">
        <f>_xlfn.XLOOKUP($C106,#REF!,#REF!,"-",0)</f>
        <v>#REF!</v>
      </c>
      <c r="AN106" s="10">
        <f t="shared" si="1"/>
        <v>0</v>
      </c>
    </row>
    <row r="107" spans="1:40" x14ac:dyDescent="0.25">
      <c r="A107" s="6" t="str">
        <f>IF(IFERROR(VLOOKUP($C107,#REF!,2,0),$C107)="Accion",CONCATENATE(IFERROR(VLOOKUP($C107,#REF!,2,0),$C107)," - ",E107),IFERROR(VLOOKUP($C107,#REF!,2,0),$C107))</f>
        <v>Johnson &amp; Johnson Services, Inc</v>
      </c>
      <c r="B107" s="9" t="s">
        <v>692</v>
      </c>
      <c r="C107" s="1" t="s">
        <v>539</v>
      </c>
      <c r="D107" s="1" t="s">
        <v>693</v>
      </c>
      <c r="E107" s="9" t="s">
        <v>62</v>
      </c>
      <c r="F107" s="9" t="s">
        <v>241</v>
      </c>
      <c r="G107" s="9" t="s">
        <v>263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/>
      <c r="V107" s="1"/>
      <c r="W107" s="6"/>
      <c r="X107" s="6"/>
      <c r="Y107" s="6"/>
      <c r="Z107" s="6"/>
      <c r="AA107" s="6"/>
      <c r="AB107" s="6" t="s">
        <v>692</v>
      </c>
      <c r="AC107" s="6" t="s">
        <v>265</v>
      </c>
      <c r="AD107" s="6"/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M107" s="6" t="e">
        <f>_xlfn.XLOOKUP($C107,#REF!,#REF!,"-",0)</f>
        <v>#REF!</v>
      </c>
      <c r="AN107" s="10">
        <f t="shared" si="1"/>
        <v>0</v>
      </c>
    </row>
    <row r="108" spans="1:40" x14ac:dyDescent="0.25">
      <c r="A108" s="6" t="str">
        <f>IF(IFERROR(VLOOKUP($C108,#REF!,2,0),$C108)="Accion",CONCATENATE(IFERROR(VLOOKUP($C108,#REF!,2,0),$C108)," - ",E108),IFERROR(VLOOKUP($C108,#REF!,2,0),$C108))</f>
        <v>Doral Health Connect</v>
      </c>
      <c r="B108" s="9" t="s">
        <v>694</v>
      </c>
      <c r="C108" s="1" t="s">
        <v>80</v>
      </c>
      <c r="D108" s="1" t="s">
        <v>695</v>
      </c>
      <c r="E108" s="9" t="s">
        <v>62</v>
      </c>
      <c r="F108" s="9" t="s">
        <v>241</v>
      </c>
      <c r="G108" s="9" t="s">
        <v>263</v>
      </c>
      <c r="H108" s="63">
        <v>0</v>
      </c>
      <c r="I108" s="63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/>
      <c r="V108" s="1"/>
      <c r="W108" s="6"/>
      <c r="X108" s="6"/>
      <c r="Y108" s="6"/>
      <c r="Z108" s="6"/>
      <c r="AA108" s="6"/>
      <c r="AB108" s="6" t="s">
        <v>694</v>
      </c>
      <c r="AC108" s="6" t="s">
        <v>265</v>
      </c>
      <c r="AD108" s="6"/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M108" s="6" t="e">
        <f>_xlfn.XLOOKUP($C108,#REF!,#REF!,"-",0)</f>
        <v>#REF!</v>
      </c>
      <c r="AN108" s="10">
        <f t="shared" si="1"/>
        <v>0</v>
      </c>
    </row>
    <row r="109" spans="1:40" x14ac:dyDescent="0.25">
      <c r="A109" s="6" t="str">
        <f>IF(IFERROR(VLOOKUP($C109,#REF!,2,0),$C109)="Accion",CONCATENATE(IFERROR(VLOOKUP($C109,#REF!,2,0),$C109)," - ",E109),IFERROR(VLOOKUP($C109,#REF!,2,0),$C109))</f>
        <v>Doral Health Connect</v>
      </c>
      <c r="B109" s="9" t="s">
        <v>696</v>
      </c>
      <c r="C109" s="1" t="s">
        <v>80</v>
      </c>
      <c r="D109" s="1" t="s">
        <v>697</v>
      </c>
      <c r="E109" s="9" t="s">
        <v>62</v>
      </c>
      <c r="F109" s="9" t="s">
        <v>241</v>
      </c>
      <c r="G109" s="9" t="s">
        <v>263</v>
      </c>
      <c r="H109" s="63">
        <v>0</v>
      </c>
      <c r="I109" s="63">
        <v>0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0</v>
      </c>
      <c r="Q109" s="63">
        <v>0</v>
      </c>
      <c r="R109" s="63">
        <v>0</v>
      </c>
      <c r="S109" s="63">
        <v>0</v>
      </c>
      <c r="T109" s="63">
        <v>0</v>
      </c>
      <c r="U109" s="63"/>
      <c r="V109" s="1"/>
      <c r="W109" s="6"/>
      <c r="X109" s="6"/>
      <c r="Y109" s="6"/>
      <c r="Z109" s="6"/>
      <c r="AA109" s="6"/>
      <c r="AB109" s="6" t="s">
        <v>696</v>
      </c>
      <c r="AC109" s="6" t="s">
        <v>265</v>
      </c>
      <c r="AD109" s="6"/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M109" s="6" t="e">
        <f>_xlfn.XLOOKUP($C109,#REF!,#REF!,"-",0)</f>
        <v>#REF!</v>
      </c>
      <c r="AN109" s="10">
        <f t="shared" si="1"/>
        <v>0</v>
      </c>
    </row>
    <row r="110" spans="1:40" x14ac:dyDescent="0.25">
      <c r="A110" s="6" t="str">
        <f>IF(IFERROR(VLOOKUP($C110,#REF!,2,0),$C110)="Accion",CONCATENATE(IFERROR(VLOOKUP($C110,#REF!,2,0),$C110)," - ",E110),IFERROR(VLOOKUP($C110,#REF!,2,0),$C110))</f>
        <v>Johnson &amp; Johnson Services, Inc</v>
      </c>
      <c r="B110" s="9" t="s">
        <v>698</v>
      </c>
      <c r="C110" s="1" t="s">
        <v>539</v>
      </c>
      <c r="D110" s="1" t="s">
        <v>699</v>
      </c>
      <c r="E110" s="9" t="s">
        <v>62</v>
      </c>
      <c r="F110" s="9" t="s">
        <v>241</v>
      </c>
      <c r="G110" s="9" t="s">
        <v>263</v>
      </c>
      <c r="H110" s="63">
        <v>0</v>
      </c>
      <c r="I110" s="63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3">
        <v>0</v>
      </c>
      <c r="T110" s="63">
        <v>0</v>
      </c>
      <c r="U110" s="63"/>
      <c r="V110" s="1"/>
      <c r="W110" s="6"/>
      <c r="X110" s="6"/>
      <c r="Y110" s="6"/>
      <c r="Z110" s="6"/>
      <c r="AA110" s="6"/>
      <c r="AB110" s="6" t="s">
        <v>698</v>
      </c>
      <c r="AC110" s="6" t="s">
        <v>265</v>
      </c>
      <c r="AD110" s="6"/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M110" s="6" t="e">
        <f>_xlfn.XLOOKUP($C110,#REF!,#REF!,"-",0)</f>
        <v>#REF!</v>
      </c>
      <c r="AN110" s="10">
        <f t="shared" si="1"/>
        <v>0</v>
      </c>
    </row>
    <row r="111" spans="1:40" x14ac:dyDescent="0.25">
      <c r="A111" s="6" t="str">
        <f>IF(IFERROR(VLOOKUP($C111,#REF!,2,0),$C111)="Accion",CONCATENATE(IFERROR(VLOOKUP($C111,#REF!,2,0),$C111)," - ",E111),IFERROR(VLOOKUP($C111,#REF!,2,0),$C111))</f>
        <v>Johnson &amp; Johnson Services, Inc</v>
      </c>
      <c r="B111" s="9" t="s">
        <v>700</v>
      </c>
      <c r="C111" s="1" t="s">
        <v>539</v>
      </c>
      <c r="D111" s="1" t="s">
        <v>701</v>
      </c>
      <c r="E111" s="9" t="s">
        <v>62</v>
      </c>
      <c r="F111" s="9" t="s">
        <v>241</v>
      </c>
      <c r="G111" s="9" t="s">
        <v>263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/>
      <c r="V111" s="1"/>
      <c r="W111" s="6"/>
      <c r="X111" s="6"/>
      <c r="Y111" s="6"/>
      <c r="Z111" s="6"/>
      <c r="AA111" s="6"/>
      <c r="AB111" s="6" t="s">
        <v>700</v>
      </c>
      <c r="AC111" s="6" t="s">
        <v>265</v>
      </c>
      <c r="AD111" s="6"/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M111" s="6" t="e">
        <f>_xlfn.XLOOKUP($C111,#REF!,#REF!,"-",0)</f>
        <v>#REF!</v>
      </c>
      <c r="AN111" s="10">
        <f t="shared" si="1"/>
        <v>0</v>
      </c>
    </row>
    <row r="112" spans="1:40" x14ac:dyDescent="0.25">
      <c r="A112" s="6" t="str">
        <f>IF(IFERROR(VLOOKUP($C112,#REF!,2,0),$C112)="Accion",CONCATENATE(IFERROR(VLOOKUP($C112,#REF!,2,0),$C112)," - ",E112),IFERROR(VLOOKUP($C112,#REF!,2,0),$C112))</f>
        <v>UNICEF</v>
      </c>
      <c r="B112" s="9" t="s">
        <v>702</v>
      </c>
      <c r="C112" s="1" t="s">
        <v>74</v>
      </c>
      <c r="D112" s="1" t="s">
        <v>703</v>
      </c>
      <c r="E112" s="9" t="s">
        <v>66</v>
      </c>
      <c r="F112" s="9" t="s">
        <v>238</v>
      </c>
      <c r="G112" s="9" t="s">
        <v>263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/>
      <c r="V112" s="1"/>
      <c r="W112" s="6"/>
      <c r="X112" s="6"/>
      <c r="Y112" s="6"/>
      <c r="Z112" s="6"/>
      <c r="AA112" s="6"/>
      <c r="AB112" s="6" t="s">
        <v>702</v>
      </c>
      <c r="AC112" s="6" t="s">
        <v>264</v>
      </c>
      <c r="AD112" s="6"/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M112" s="6" t="e">
        <f>_xlfn.XLOOKUP($C112,#REF!,#REF!,"-",0)</f>
        <v>#REF!</v>
      </c>
      <c r="AN112" s="10">
        <f t="shared" si="1"/>
        <v>0</v>
      </c>
    </row>
    <row r="113" spans="1:40" x14ac:dyDescent="0.25">
      <c r="A113" s="6" t="str">
        <f>IF(IFERROR(VLOOKUP($C113,#REF!,2,0),$C113)="Accion",CONCATENATE(IFERROR(VLOOKUP($C113,#REF!,2,0),$C113)," - ",E113),IFERROR(VLOOKUP($C113,#REF!,2,0),$C113))</f>
        <v>UNICEF</v>
      </c>
      <c r="B113" s="9" t="s">
        <v>201</v>
      </c>
      <c r="C113" s="1" t="s">
        <v>74</v>
      </c>
      <c r="D113" s="1" t="s">
        <v>29</v>
      </c>
      <c r="E113" s="9" t="s">
        <v>66</v>
      </c>
      <c r="F113" s="9" t="s">
        <v>238</v>
      </c>
      <c r="G113" s="9" t="s">
        <v>263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/>
      <c r="V113" s="1"/>
      <c r="W113" s="6"/>
      <c r="X113" s="6"/>
      <c r="Y113" s="6"/>
      <c r="Z113" s="6"/>
      <c r="AA113" s="6"/>
      <c r="AB113" s="6" t="s">
        <v>201</v>
      </c>
      <c r="AC113" s="6" t="s">
        <v>264</v>
      </c>
      <c r="AD113" s="6"/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M113" s="6" t="e">
        <f>_xlfn.XLOOKUP($C113,#REF!,#REF!,"-",0)</f>
        <v>#REF!</v>
      </c>
      <c r="AN113" s="10">
        <f t="shared" si="1"/>
        <v>0</v>
      </c>
    </row>
    <row r="114" spans="1:40" x14ac:dyDescent="0.25">
      <c r="A114" s="6" t="str">
        <f>IF(IFERROR(VLOOKUP($C114,#REF!,2,0),$C114)="Accion",CONCATENATE(IFERROR(VLOOKUP($C114,#REF!,2,0),$C114)," - ",E114),IFERROR(VLOOKUP($C114,#REF!,2,0),$C114))</f>
        <v>UNICEF</v>
      </c>
      <c r="B114" s="9" t="s">
        <v>200</v>
      </c>
      <c r="C114" s="1" t="s">
        <v>74</v>
      </c>
      <c r="D114" s="1" t="s">
        <v>30</v>
      </c>
      <c r="E114" s="9" t="s">
        <v>66</v>
      </c>
      <c r="F114" s="9" t="s">
        <v>238</v>
      </c>
      <c r="G114" s="9" t="s">
        <v>263</v>
      </c>
      <c r="H114" s="63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/>
      <c r="V114" s="1"/>
      <c r="W114" s="6"/>
      <c r="X114" s="6"/>
      <c r="Y114" s="6"/>
      <c r="Z114" s="6"/>
      <c r="AA114" s="6"/>
      <c r="AB114" s="6" t="s">
        <v>200</v>
      </c>
      <c r="AC114" s="6" t="s">
        <v>264</v>
      </c>
      <c r="AD114" s="6"/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M114" s="6" t="e">
        <f>_xlfn.XLOOKUP($C114,#REF!,#REF!,"-",0)</f>
        <v>#REF!</v>
      </c>
      <c r="AN114" s="10">
        <f t="shared" si="1"/>
        <v>0</v>
      </c>
    </row>
    <row r="115" spans="1:40" x14ac:dyDescent="0.25">
      <c r="A115" s="6" t="str">
        <f>IF(IFERROR(VLOOKUP($C115,#REF!,2,0),$C115)="Accion",CONCATENATE(IFERROR(VLOOKUP($C115,#REF!,2,0),$C115)," - ",E115),IFERROR(VLOOKUP($C115,#REF!,2,0),$C115))</f>
        <v>UNICEF</v>
      </c>
      <c r="B115" s="9" t="s">
        <v>704</v>
      </c>
      <c r="C115" s="1" t="s">
        <v>74</v>
      </c>
      <c r="D115" s="1" t="s">
        <v>705</v>
      </c>
      <c r="E115" s="9" t="s">
        <v>66</v>
      </c>
      <c r="F115" s="9" t="s">
        <v>238</v>
      </c>
      <c r="G115" s="9" t="s">
        <v>263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/>
      <c r="V115" s="1"/>
      <c r="W115" s="6"/>
      <c r="X115" s="6"/>
      <c r="Y115" s="6"/>
      <c r="Z115" s="6"/>
      <c r="AA115" s="6"/>
      <c r="AB115" s="6" t="s">
        <v>704</v>
      </c>
      <c r="AC115" s="6" t="s">
        <v>264</v>
      </c>
      <c r="AD115" s="6"/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M115" s="6" t="e">
        <f>_xlfn.XLOOKUP($C115,#REF!,#REF!,"-",0)</f>
        <v>#REF!</v>
      </c>
      <c r="AN115" s="10">
        <f t="shared" si="1"/>
        <v>0</v>
      </c>
    </row>
    <row r="116" spans="1:40" x14ac:dyDescent="0.25">
      <c r="A116" s="6" t="str">
        <f>IF(IFERROR(VLOOKUP($C116,#REF!,2,0),$C116)="Accion",CONCATENATE(IFERROR(VLOOKUP($C116,#REF!,2,0),$C116)," - ",E116),IFERROR(VLOOKUP($C116,#REF!,2,0),$C116))</f>
        <v>International Computing Centre</v>
      </c>
      <c r="B116" s="9" t="s">
        <v>488</v>
      </c>
      <c r="C116" s="1" t="s">
        <v>82</v>
      </c>
      <c r="D116" s="1" t="s">
        <v>489</v>
      </c>
      <c r="E116" s="9" t="s">
        <v>66</v>
      </c>
      <c r="F116" s="9" t="s">
        <v>241</v>
      </c>
      <c r="G116" s="9" t="s">
        <v>263</v>
      </c>
      <c r="H116" s="63">
        <v>0</v>
      </c>
      <c r="I116" s="63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v>0</v>
      </c>
      <c r="R116" s="63">
        <v>0</v>
      </c>
      <c r="S116" s="63">
        <v>0</v>
      </c>
      <c r="T116" s="63">
        <v>0</v>
      </c>
      <c r="U116" s="63"/>
      <c r="V116" s="1"/>
      <c r="W116" s="6"/>
      <c r="X116" s="6"/>
      <c r="Y116" s="6"/>
      <c r="Z116" s="6"/>
      <c r="AA116" s="6"/>
      <c r="AB116" s="6" t="s">
        <v>488</v>
      </c>
      <c r="AC116" s="6" t="s">
        <v>265</v>
      </c>
      <c r="AD116" s="6"/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M116" s="6" t="e">
        <f>_xlfn.XLOOKUP($C116,#REF!,#REF!,"-",0)</f>
        <v>#REF!</v>
      </c>
      <c r="AN116" s="10">
        <f t="shared" si="1"/>
        <v>0</v>
      </c>
    </row>
    <row r="117" spans="1:40" x14ac:dyDescent="0.25">
      <c r="A117" s="6" t="str">
        <f>IF(IFERROR(VLOOKUP($C117,#REF!,2,0),$C117)="Accion",CONCATENATE(IFERROR(VLOOKUP($C117,#REF!,2,0),$C117)," - ",E117),IFERROR(VLOOKUP($C117,#REF!,2,0),$C117))</f>
        <v>Organisation for Prohibition of Chemical Weapons</v>
      </c>
      <c r="B117" s="9" t="s">
        <v>706</v>
      </c>
      <c r="C117" s="1" t="s">
        <v>71</v>
      </c>
      <c r="D117" s="1" t="s">
        <v>707</v>
      </c>
      <c r="E117" s="9" t="s">
        <v>66</v>
      </c>
      <c r="F117" s="9" t="s">
        <v>238</v>
      </c>
      <c r="G117" s="9" t="s">
        <v>263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/>
      <c r="V117" s="1"/>
      <c r="W117" s="6"/>
      <c r="X117" s="6"/>
      <c r="Y117" s="6"/>
      <c r="Z117" s="6"/>
      <c r="AA117" s="6"/>
      <c r="AB117" s="6" t="s">
        <v>706</v>
      </c>
      <c r="AC117" s="6" t="s">
        <v>264</v>
      </c>
      <c r="AD117" s="6"/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M117" s="6" t="e">
        <f>_xlfn.XLOOKUP($C117,#REF!,#REF!,"-",0)</f>
        <v>#REF!</v>
      </c>
      <c r="AN117" s="10">
        <f t="shared" si="1"/>
        <v>0</v>
      </c>
    </row>
    <row r="118" spans="1:40" x14ac:dyDescent="0.25">
      <c r="A118" s="6" t="str">
        <f>IF(IFERROR(VLOOKUP($C118,#REF!,2,0),$C118)="Accion",CONCATENATE(IFERROR(VLOOKUP($C118,#REF!,2,0),$C118)," - ",E118),IFERROR(VLOOKUP($C118,#REF!,2,0),$C118))</f>
        <v>Organisation for Prohibition of Chemical Weapons</v>
      </c>
      <c r="B118" s="9" t="s">
        <v>212</v>
      </c>
      <c r="C118" s="1" t="s">
        <v>71</v>
      </c>
      <c r="D118" s="1" t="s">
        <v>56</v>
      </c>
      <c r="E118" s="9" t="s">
        <v>66</v>
      </c>
      <c r="F118" s="9" t="s">
        <v>238</v>
      </c>
      <c r="G118" s="9" t="s">
        <v>263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/>
      <c r="V118" s="1"/>
      <c r="W118" s="6"/>
      <c r="X118" s="6"/>
      <c r="Y118" s="6"/>
      <c r="Z118" s="6"/>
      <c r="AA118" s="6"/>
      <c r="AB118" s="6" t="s">
        <v>212</v>
      </c>
      <c r="AC118" s="6" t="s">
        <v>264</v>
      </c>
      <c r="AD118" s="6"/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M118" s="6" t="e">
        <f>_xlfn.XLOOKUP($C118,#REF!,#REF!,"-",0)</f>
        <v>#REF!</v>
      </c>
      <c r="AN118" s="10">
        <f t="shared" si="1"/>
        <v>0</v>
      </c>
    </row>
    <row r="119" spans="1:40" x14ac:dyDescent="0.25">
      <c r="A119" s="6" t="str">
        <f>IF(IFERROR(VLOOKUP($C119,#REF!,2,0),$C119)="Accion",CONCATENATE(IFERROR(VLOOKUP($C119,#REF!,2,0),$C119)," - ",E119),IFERROR(VLOOKUP($C119,#REF!,2,0),$C119))</f>
        <v>Accion Labs US, Inc.</v>
      </c>
      <c r="B119" s="9" t="s">
        <v>708</v>
      </c>
      <c r="C119" s="1" t="s">
        <v>149</v>
      </c>
      <c r="D119" s="1" t="s">
        <v>709</v>
      </c>
      <c r="E119" s="9" t="s">
        <v>62</v>
      </c>
      <c r="F119" s="9" t="s">
        <v>241</v>
      </c>
      <c r="G119" s="9" t="s">
        <v>263</v>
      </c>
      <c r="H119" s="63">
        <v>0</v>
      </c>
      <c r="I119" s="63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/>
      <c r="V119" s="1"/>
      <c r="W119" s="6"/>
      <c r="X119" s="6"/>
      <c r="Y119" s="6"/>
      <c r="Z119" s="6"/>
      <c r="AA119" s="6"/>
      <c r="AB119" s="6" t="s">
        <v>708</v>
      </c>
      <c r="AC119" s="6" t="s">
        <v>265</v>
      </c>
      <c r="AD119" s="6"/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M119" s="6" t="e">
        <f>_xlfn.XLOOKUP($C119,#REF!,#REF!,"-",0)</f>
        <v>#REF!</v>
      </c>
      <c r="AN119" s="10">
        <f t="shared" si="1"/>
        <v>0</v>
      </c>
    </row>
    <row r="120" spans="1:40" x14ac:dyDescent="0.25">
      <c r="A120" s="6" t="str">
        <f>IF(IFERROR(VLOOKUP($C120,#REF!,2,0),$C120)="Accion",CONCATENATE(IFERROR(VLOOKUP($C120,#REF!,2,0),$C120)," - ",E120),IFERROR(VLOOKUP($C120,#REF!,2,0),$C120))</f>
        <v>WORKSOFT INC</v>
      </c>
      <c r="B120" s="9" t="s">
        <v>710</v>
      </c>
      <c r="C120" s="1" t="s">
        <v>96</v>
      </c>
      <c r="D120" s="1" t="s">
        <v>711</v>
      </c>
      <c r="E120" s="9" t="s">
        <v>62</v>
      </c>
      <c r="F120" s="9" t="s">
        <v>241</v>
      </c>
      <c r="G120" s="9" t="s">
        <v>263</v>
      </c>
      <c r="H120" s="63">
        <v>0</v>
      </c>
      <c r="I120" s="63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/>
      <c r="V120" s="1"/>
      <c r="W120" s="6"/>
      <c r="X120" s="6"/>
      <c r="Y120" s="6"/>
      <c r="Z120" s="6"/>
      <c r="AA120" s="6"/>
      <c r="AB120" s="6" t="s">
        <v>710</v>
      </c>
      <c r="AC120" s="6" t="s">
        <v>265</v>
      </c>
      <c r="AD120" s="6"/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M120" s="6" t="e">
        <f>_xlfn.XLOOKUP($C120,#REF!,#REF!,"-",0)</f>
        <v>#REF!</v>
      </c>
      <c r="AN120" s="10">
        <f t="shared" si="1"/>
        <v>0</v>
      </c>
    </row>
    <row r="121" spans="1:40" ht="27.75" customHeight="1" x14ac:dyDescent="0.25">
      <c r="A121" s="6" t="str">
        <f>IF(IFERROR(VLOOKUP($C121,#REF!,2,0),$C121)="Accion",CONCATENATE(IFERROR(VLOOKUP($C121,#REF!,2,0),$C121)," - ",E121),IFERROR(VLOOKUP($C121,#REF!,2,0),$C121))</f>
        <v>Organisation for Prohibition of Chemical Weapons</v>
      </c>
      <c r="B121" s="9" t="s">
        <v>712</v>
      </c>
      <c r="C121" s="1" t="s">
        <v>71</v>
      </c>
      <c r="D121" s="1" t="s">
        <v>713</v>
      </c>
      <c r="E121" s="9" t="s">
        <v>66</v>
      </c>
      <c r="F121" s="9" t="s">
        <v>238</v>
      </c>
      <c r="G121" s="9" t="s">
        <v>263</v>
      </c>
      <c r="H121" s="63">
        <v>0</v>
      </c>
      <c r="I121" s="63">
        <v>0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0</v>
      </c>
      <c r="T121" s="63">
        <v>0</v>
      </c>
      <c r="U121" s="63"/>
      <c r="V121" s="1"/>
      <c r="W121" s="6"/>
      <c r="X121" s="6"/>
      <c r="Y121" s="6"/>
      <c r="Z121" s="6"/>
      <c r="AA121" s="6"/>
      <c r="AB121" s="6" t="s">
        <v>712</v>
      </c>
      <c r="AC121" s="6" t="s">
        <v>264</v>
      </c>
      <c r="AD121" s="6"/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M121" s="6" t="e">
        <f>_xlfn.XLOOKUP($C121,#REF!,#REF!,"-",0)</f>
        <v>#REF!</v>
      </c>
      <c r="AN121" s="10">
        <f t="shared" si="1"/>
        <v>0</v>
      </c>
    </row>
    <row r="122" spans="1:40" x14ac:dyDescent="0.25">
      <c r="A122" s="6" t="str">
        <f>IF(IFERROR(VLOOKUP($C122,#REF!,2,0),$C122)="Accion",CONCATENATE(IFERROR(VLOOKUP($C122,#REF!,2,0),$C122)," - ",E122),IFERROR(VLOOKUP($C122,#REF!,2,0),$C122))</f>
        <v>Avalara Technologies Private Limited</v>
      </c>
      <c r="B122" s="9" t="s">
        <v>714</v>
      </c>
      <c r="C122" s="1" t="s">
        <v>492</v>
      </c>
      <c r="D122" s="1" t="s">
        <v>715</v>
      </c>
      <c r="E122" s="9" t="s">
        <v>62</v>
      </c>
      <c r="F122" s="9" t="s">
        <v>243</v>
      </c>
      <c r="G122" s="9" t="s">
        <v>263</v>
      </c>
      <c r="H122" s="63">
        <v>0</v>
      </c>
      <c r="I122" s="63">
        <v>0</v>
      </c>
      <c r="J122" s="63">
        <v>0</v>
      </c>
      <c r="K122" s="63">
        <v>0</v>
      </c>
      <c r="L122" s="63">
        <v>0</v>
      </c>
      <c r="M122" s="63">
        <v>0</v>
      </c>
      <c r="N122" s="63">
        <v>0</v>
      </c>
      <c r="O122" s="63">
        <v>0</v>
      </c>
      <c r="P122" s="63">
        <v>0</v>
      </c>
      <c r="Q122" s="63">
        <v>0</v>
      </c>
      <c r="R122" s="63">
        <v>0</v>
      </c>
      <c r="S122" s="63">
        <v>0</v>
      </c>
      <c r="T122" s="63">
        <v>0</v>
      </c>
      <c r="U122" s="63"/>
      <c r="V122" s="1"/>
      <c r="W122" s="6"/>
      <c r="X122" s="6"/>
      <c r="Y122" s="6"/>
      <c r="Z122" s="6"/>
      <c r="AA122" s="6"/>
      <c r="AB122" s="6" t="s">
        <v>714</v>
      </c>
      <c r="AC122" s="6" t="s">
        <v>266</v>
      </c>
      <c r="AD122" s="6"/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M122" s="6" t="e">
        <f>_xlfn.XLOOKUP($C122,#REF!,#REF!,"-",0)</f>
        <v>#REF!</v>
      </c>
      <c r="AN122" s="10">
        <f t="shared" si="1"/>
        <v>0</v>
      </c>
    </row>
    <row r="123" spans="1:40" x14ac:dyDescent="0.25">
      <c r="A123" s="6" t="str">
        <f>IF(IFERROR(VLOOKUP($C123,#REF!,2,0),$C123)="Accion",CONCATENATE(IFERROR(VLOOKUP($C123,#REF!,2,0),$C123)," - ",E123),IFERROR(VLOOKUP($C123,#REF!,2,0),$C123))</f>
        <v>Abbott Laboratories</v>
      </c>
      <c r="B123" s="9" t="s">
        <v>716</v>
      </c>
      <c r="C123" s="1" t="s">
        <v>147</v>
      </c>
      <c r="D123" s="1" t="s">
        <v>717</v>
      </c>
      <c r="E123" s="9" t="s">
        <v>62</v>
      </c>
      <c r="F123" s="9" t="s">
        <v>241</v>
      </c>
      <c r="G123" s="9" t="s">
        <v>263</v>
      </c>
      <c r="H123" s="63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/>
      <c r="V123" s="1"/>
      <c r="W123" s="6"/>
      <c r="X123" s="6"/>
      <c r="Y123" s="6"/>
      <c r="Z123" s="6"/>
      <c r="AA123" s="6"/>
      <c r="AB123" s="6" t="s">
        <v>716</v>
      </c>
      <c r="AC123" s="6" t="s">
        <v>265</v>
      </c>
      <c r="AD123" s="6"/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M123" s="6" t="e">
        <f>_xlfn.XLOOKUP($C123,#REF!,#REF!,"-",0)</f>
        <v>#REF!</v>
      </c>
      <c r="AN123" s="10">
        <f t="shared" si="1"/>
        <v>0</v>
      </c>
    </row>
    <row r="124" spans="1:40" x14ac:dyDescent="0.25">
      <c r="A124" s="6" t="str">
        <f>IF(IFERROR(VLOOKUP($C124,#REF!,2,0),$C124)="Accion",CONCATENATE(IFERROR(VLOOKUP($C124,#REF!,2,0),$C124)," - ",E124),IFERROR(VLOOKUP($C124,#REF!,2,0),$C124))</f>
        <v>Abbott GmbH</v>
      </c>
      <c r="B124" s="9" t="s">
        <v>718</v>
      </c>
      <c r="C124" s="1" t="s">
        <v>144</v>
      </c>
      <c r="D124" s="1" t="s">
        <v>719</v>
      </c>
      <c r="E124" s="9" t="s">
        <v>62</v>
      </c>
      <c r="F124" s="9" t="s">
        <v>238</v>
      </c>
      <c r="G124" s="9" t="s">
        <v>263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/>
      <c r="V124" s="1"/>
      <c r="W124" s="6"/>
      <c r="X124" s="6"/>
      <c r="Y124" s="6"/>
      <c r="Z124" s="6"/>
      <c r="AA124" s="6"/>
      <c r="AB124" s="6" t="s">
        <v>718</v>
      </c>
      <c r="AC124" s="6" t="s">
        <v>264</v>
      </c>
      <c r="AD124" s="6"/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M124" s="6" t="e">
        <f>_xlfn.XLOOKUP($C124,#REF!,#REF!,"-",0)</f>
        <v>#REF!</v>
      </c>
      <c r="AN124" s="10">
        <f t="shared" si="1"/>
        <v>0</v>
      </c>
    </row>
    <row r="125" spans="1:40" x14ac:dyDescent="0.25">
      <c r="A125" s="6" t="str">
        <f>IF(IFERROR(VLOOKUP($C125,#REF!,2,0),$C125)="Accion",CONCATENATE(IFERROR(VLOOKUP($C125,#REF!,2,0),$C125)," - ",E125),IFERROR(VLOOKUP($C125,#REF!,2,0),$C125))</f>
        <v>Abbott GmbH</v>
      </c>
      <c r="B125" s="9" t="s">
        <v>720</v>
      </c>
      <c r="C125" s="1" t="s">
        <v>144</v>
      </c>
      <c r="D125" s="1" t="s">
        <v>721</v>
      </c>
      <c r="E125" s="9" t="s">
        <v>62</v>
      </c>
      <c r="F125" s="9" t="s">
        <v>238</v>
      </c>
      <c r="G125" s="9" t="s">
        <v>263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/>
      <c r="V125" s="1"/>
      <c r="W125" s="6"/>
      <c r="X125" s="6"/>
      <c r="Y125" s="6"/>
      <c r="Z125" s="6"/>
      <c r="AA125" s="6"/>
      <c r="AB125" s="6" t="s">
        <v>720</v>
      </c>
      <c r="AC125" s="6" t="s">
        <v>264</v>
      </c>
      <c r="AD125" s="6"/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M125" s="6" t="e">
        <f>_xlfn.XLOOKUP($C125,#REF!,#REF!,"-",0)</f>
        <v>#REF!</v>
      </c>
      <c r="AN125" s="10">
        <f t="shared" si="1"/>
        <v>0</v>
      </c>
    </row>
    <row r="126" spans="1:40" x14ac:dyDescent="0.25">
      <c r="A126" s="6" t="str">
        <f>IF(IFERROR(VLOOKUP($C126,#REF!,2,0),$C126)="Accion",CONCATENATE(IFERROR(VLOOKUP($C126,#REF!,2,0),$C126)," - ",E126),IFERROR(VLOOKUP($C126,#REF!,2,0),$C126))</f>
        <v>Accion Labs US, Inc.</v>
      </c>
      <c r="B126" s="9" t="s">
        <v>722</v>
      </c>
      <c r="C126" s="1" t="s">
        <v>149</v>
      </c>
      <c r="D126" s="1" t="s">
        <v>723</v>
      </c>
      <c r="E126" s="9" t="s">
        <v>62</v>
      </c>
      <c r="F126" s="9" t="s">
        <v>241</v>
      </c>
      <c r="G126" s="9" t="s">
        <v>263</v>
      </c>
      <c r="H126" s="63">
        <v>0</v>
      </c>
      <c r="I126" s="63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/>
      <c r="V126" s="1"/>
      <c r="W126" s="6"/>
      <c r="X126" s="6"/>
      <c r="Y126" s="6"/>
      <c r="Z126" s="6"/>
      <c r="AA126" s="6"/>
      <c r="AB126" s="6" t="s">
        <v>722</v>
      </c>
      <c r="AC126" s="6" t="s">
        <v>265</v>
      </c>
      <c r="AD126" s="6"/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M126" s="6" t="e">
        <f>_xlfn.XLOOKUP($C126,#REF!,#REF!,"-",0)</f>
        <v>#REF!</v>
      </c>
      <c r="AN126" s="10">
        <f t="shared" si="1"/>
        <v>0</v>
      </c>
    </row>
    <row r="127" spans="1:40" x14ac:dyDescent="0.25">
      <c r="A127" s="6" t="str">
        <f>IF(IFERROR(VLOOKUP($C127,#REF!,2,0),$C127)="Accion",CONCATENATE(IFERROR(VLOOKUP($C127,#REF!,2,0),$C127)," - ",E127),IFERROR(VLOOKUP($C127,#REF!,2,0),$C127))</f>
        <v>Genfare, LLC</v>
      </c>
      <c r="B127" s="9" t="s">
        <v>724</v>
      </c>
      <c r="C127" s="1" t="s">
        <v>87</v>
      </c>
      <c r="D127" s="1" t="s">
        <v>725</v>
      </c>
      <c r="E127" s="9" t="s">
        <v>62</v>
      </c>
      <c r="F127" s="9" t="s">
        <v>241</v>
      </c>
      <c r="G127" s="9" t="s">
        <v>263</v>
      </c>
      <c r="H127" s="63">
        <v>0</v>
      </c>
      <c r="I127" s="63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v>0</v>
      </c>
      <c r="R127" s="63">
        <v>0</v>
      </c>
      <c r="S127" s="63">
        <v>0</v>
      </c>
      <c r="T127" s="63">
        <v>0</v>
      </c>
      <c r="U127" s="63"/>
      <c r="V127" s="1"/>
      <c r="W127" s="6"/>
      <c r="X127" s="6"/>
      <c r="Y127" s="6"/>
      <c r="Z127" s="6"/>
      <c r="AA127" s="6"/>
      <c r="AB127" s="6" t="s">
        <v>724</v>
      </c>
      <c r="AC127" s="6" t="s">
        <v>265</v>
      </c>
      <c r="AD127" s="6"/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M127" s="6" t="e">
        <f>_xlfn.XLOOKUP($C127,#REF!,#REF!,"-",0)</f>
        <v>#REF!</v>
      </c>
      <c r="AN127" s="10">
        <f t="shared" si="1"/>
        <v>0</v>
      </c>
    </row>
    <row r="128" spans="1:40" x14ac:dyDescent="0.25">
      <c r="A128" s="6" t="str">
        <f>IF(IFERROR(VLOOKUP($C128,#REF!,2,0),$C128)="Accion",CONCATENATE(IFERROR(VLOOKUP($C128,#REF!,2,0),$C128)," - ",E128),IFERROR(VLOOKUP($C128,#REF!,2,0),$C128))</f>
        <v>Emerson Export Engineering Centre</v>
      </c>
      <c r="B128" s="9" t="s">
        <v>726</v>
      </c>
      <c r="C128" s="1" t="s">
        <v>168</v>
      </c>
      <c r="D128" s="1" t="s">
        <v>727</v>
      </c>
      <c r="E128" s="9" t="s">
        <v>62</v>
      </c>
      <c r="F128" s="9" t="s">
        <v>243</v>
      </c>
      <c r="G128" s="9" t="s">
        <v>263</v>
      </c>
      <c r="H128" s="63">
        <v>0</v>
      </c>
      <c r="I128" s="63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/>
      <c r="V128" s="1"/>
      <c r="W128" s="6"/>
      <c r="X128" s="6"/>
      <c r="Y128" s="6"/>
      <c r="Z128" s="6"/>
      <c r="AA128" s="6"/>
      <c r="AB128" s="6" t="s">
        <v>726</v>
      </c>
      <c r="AC128" s="6" t="s">
        <v>266</v>
      </c>
      <c r="AD128" s="6"/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M128" s="6" t="e">
        <f>_xlfn.XLOOKUP($C128,#REF!,#REF!,"-",0)</f>
        <v>#REF!</v>
      </c>
      <c r="AN128" s="10">
        <f t="shared" si="1"/>
        <v>0</v>
      </c>
    </row>
    <row r="129" spans="1:40" x14ac:dyDescent="0.25">
      <c r="A129" s="6" t="str">
        <f>IF(IFERROR(VLOOKUP($C129,#REF!,2,0),$C129)="Accion",CONCATENATE(IFERROR(VLOOKUP($C129,#REF!,2,0),$C129)," - ",E129),IFERROR(VLOOKUP($C129,#REF!,2,0),$C129))</f>
        <v>Accion Labs US, Inc.</v>
      </c>
      <c r="B129" s="9" t="s">
        <v>728</v>
      </c>
      <c r="C129" s="1" t="s">
        <v>149</v>
      </c>
      <c r="D129" s="1" t="s">
        <v>729</v>
      </c>
      <c r="E129" s="9" t="s">
        <v>62</v>
      </c>
      <c r="F129" s="9" t="s">
        <v>241</v>
      </c>
      <c r="G129" s="9" t="s">
        <v>263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/>
      <c r="V129" s="1"/>
      <c r="W129" s="6"/>
      <c r="X129" s="6"/>
      <c r="Y129" s="6"/>
      <c r="Z129" s="6"/>
      <c r="AA129" s="6"/>
      <c r="AB129" s="6" t="s">
        <v>728</v>
      </c>
      <c r="AC129" s="6" t="s">
        <v>265</v>
      </c>
      <c r="AD129" s="6"/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M129" s="6" t="e">
        <f>_xlfn.XLOOKUP($C129,#REF!,#REF!,"-",0)</f>
        <v>#REF!</v>
      </c>
      <c r="AN129" s="10">
        <f t="shared" si="1"/>
        <v>0</v>
      </c>
    </row>
    <row r="130" spans="1:40" x14ac:dyDescent="0.25">
      <c r="A130" s="6" t="str">
        <f>IF(IFERROR(VLOOKUP($C130,#REF!,2,0),$C130)="Accion",CONCATENATE(IFERROR(VLOOKUP($C130,#REF!,2,0),$C130)," - ",E130),IFERROR(VLOOKUP($C130,#REF!,2,0),$C130))</f>
        <v>CVS Pharmacy Inc.</v>
      </c>
      <c r="B130" s="9" t="s">
        <v>416</v>
      </c>
      <c r="C130" s="1" t="s">
        <v>122</v>
      </c>
      <c r="D130" s="1" t="s">
        <v>417</v>
      </c>
      <c r="E130" s="9" t="s">
        <v>62</v>
      </c>
      <c r="F130" s="9" t="s">
        <v>241</v>
      </c>
      <c r="G130" s="9" t="s">
        <v>263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/>
      <c r="V130" s="1"/>
      <c r="W130" s="6"/>
      <c r="X130" s="6"/>
      <c r="Y130" s="6"/>
      <c r="Z130" s="6"/>
      <c r="AA130" s="6"/>
      <c r="AB130" s="6" t="s">
        <v>416</v>
      </c>
      <c r="AC130" s="6" t="s">
        <v>265</v>
      </c>
      <c r="AD130" s="6"/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M130" s="6" t="e">
        <f>_xlfn.XLOOKUP($C130,#REF!,#REF!,"-",0)</f>
        <v>#REF!</v>
      </c>
      <c r="AN130" s="10">
        <f t="shared" si="1"/>
        <v>0</v>
      </c>
    </row>
    <row r="131" spans="1:40" x14ac:dyDescent="0.25">
      <c r="A131" s="6" t="str">
        <f>IF(IFERROR(VLOOKUP($C131,#REF!,2,0),$C131)="Accion",CONCATENATE(IFERROR(VLOOKUP($C131,#REF!,2,0),$C131)," - ",E131),IFERROR(VLOOKUP($C131,#REF!,2,0),$C131))</f>
        <v>UNICEF</v>
      </c>
      <c r="B131" s="9" t="s">
        <v>558</v>
      </c>
      <c r="C131" s="1" t="s">
        <v>74</v>
      </c>
      <c r="D131" s="1" t="s">
        <v>559</v>
      </c>
      <c r="E131" s="9" t="s">
        <v>66</v>
      </c>
      <c r="F131" s="9" t="s">
        <v>238</v>
      </c>
      <c r="G131" s="9" t="s">
        <v>263</v>
      </c>
      <c r="H131" s="63">
        <v>0</v>
      </c>
      <c r="I131" s="63">
        <v>0</v>
      </c>
      <c r="J131" s="63">
        <v>0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v>0</v>
      </c>
      <c r="R131" s="63">
        <v>0</v>
      </c>
      <c r="S131" s="63">
        <v>0</v>
      </c>
      <c r="T131" s="63">
        <v>0</v>
      </c>
      <c r="U131" s="63"/>
      <c r="V131" s="1"/>
      <c r="W131" s="6"/>
      <c r="X131" s="6"/>
      <c r="Y131" s="6"/>
      <c r="Z131" s="6"/>
      <c r="AA131" s="6"/>
      <c r="AB131" s="6" t="s">
        <v>558</v>
      </c>
      <c r="AC131" s="6" t="s">
        <v>264</v>
      </c>
      <c r="AD131" s="6"/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M131" s="6" t="e">
        <f>_xlfn.XLOOKUP($C131,#REF!,#REF!,"-",0)</f>
        <v>#REF!</v>
      </c>
      <c r="AN131" s="10">
        <f t="shared" si="1"/>
        <v>0</v>
      </c>
    </row>
    <row r="132" spans="1:40" ht="36" customHeight="1" x14ac:dyDescent="0.25">
      <c r="A132" s="6" t="str">
        <f>IF(IFERROR(VLOOKUP($C132,#REF!,2,0),$C132)="Accion",CONCATENATE(IFERROR(VLOOKUP($C132,#REF!,2,0),$C132)," - ",E132),IFERROR(VLOOKUP($C132,#REF!,2,0),$C132))</f>
        <v>Blue Cross and Blue Shield of Kansas City</v>
      </c>
      <c r="B132" s="9" t="s">
        <v>446</v>
      </c>
      <c r="C132" s="1" t="s">
        <v>106</v>
      </c>
      <c r="D132" s="1" t="s">
        <v>447</v>
      </c>
      <c r="E132" s="9" t="s">
        <v>62</v>
      </c>
      <c r="F132" s="9" t="s">
        <v>241</v>
      </c>
      <c r="G132" s="9" t="s">
        <v>263</v>
      </c>
      <c r="H132" s="63">
        <v>0</v>
      </c>
      <c r="I132" s="63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3">
        <v>0</v>
      </c>
      <c r="T132" s="63">
        <v>0</v>
      </c>
      <c r="U132" s="63"/>
      <c r="V132" s="1"/>
      <c r="W132" s="6"/>
      <c r="X132" s="6"/>
      <c r="Y132" s="6"/>
      <c r="Z132" s="6"/>
      <c r="AA132" s="6"/>
      <c r="AB132" s="6" t="s">
        <v>446</v>
      </c>
      <c r="AC132" s="6" t="s">
        <v>265</v>
      </c>
      <c r="AD132" s="6"/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M132" s="6" t="e">
        <f>_xlfn.XLOOKUP($C132,#REF!,#REF!,"-",0)</f>
        <v>#REF!</v>
      </c>
      <c r="AN132" s="10">
        <f t="shared" si="1"/>
        <v>0</v>
      </c>
    </row>
    <row r="133" spans="1:40" ht="30.75" customHeight="1" x14ac:dyDescent="0.25">
      <c r="A133" s="6" t="str">
        <f>IF(IFERROR(VLOOKUP($C133,#REF!,2,0),$C133)="Accion",CONCATENATE(IFERROR(VLOOKUP($C133,#REF!,2,0),$C133)," - ",E133),IFERROR(VLOOKUP($C133,#REF!,2,0),$C133))</f>
        <v>UNICEF</v>
      </c>
      <c r="B133" s="9" t="s">
        <v>202</v>
      </c>
      <c r="C133" s="1" t="s">
        <v>74</v>
      </c>
      <c r="D133" s="1" t="s">
        <v>36</v>
      </c>
      <c r="E133" s="9" t="s">
        <v>66</v>
      </c>
      <c r="F133" s="9" t="s">
        <v>238</v>
      </c>
      <c r="G133" s="9" t="s">
        <v>263</v>
      </c>
      <c r="H133" s="63">
        <v>0</v>
      </c>
      <c r="I133" s="63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/>
      <c r="V133" s="1"/>
      <c r="W133" s="6"/>
      <c r="X133" s="6"/>
      <c r="Y133" s="6"/>
      <c r="Z133" s="6"/>
      <c r="AA133" s="6"/>
      <c r="AB133" s="6" t="s">
        <v>202</v>
      </c>
      <c r="AC133" s="6" t="s">
        <v>264</v>
      </c>
      <c r="AD133" s="6"/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M133" s="6" t="e">
        <f>_xlfn.XLOOKUP($C133,#REF!,#REF!,"-",0)</f>
        <v>#REF!</v>
      </c>
      <c r="AN133" s="10">
        <f t="shared" si="1"/>
        <v>0</v>
      </c>
    </row>
    <row r="134" spans="1:40" x14ac:dyDescent="0.25">
      <c r="A134" s="6" t="str">
        <f>IF(IFERROR(VLOOKUP($C134,#REF!,2,0),$C134)="Accion",CONCATENATE(IFERROR(VLOOKUP($C134,#REF!,2,0),$C134)," - ",E134),IFERROR(VLOOKUP($C134,#REF!,2,0),$C134))</f>
        <v>Genfare, LLC</v>
      </c>
      <c r="B134" s="9" t="s">
        <v>171</v>
      </c>
      <c r="C134" s="1" t="s">
        <v>87</v>
      </c>
      <c r="D134" s="1" t="s">
        <v>33</v>
      </c>
      <c r="E134" s="9" t="s">
        <v>62</v>
      </c>
      <c r="F134" s="9" t="s">
        <v>241</v>
      </c>
      <c r="G134" s="9" t="s">
        <v>263</v>
      </c>
      <c r="H134" s="63">
        <v>0</v>
      </c>
      <c r="I134" s="63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0</v>
      </c>
      <c r="R134" s="63">
        <v>0</v>
      </c>
      <c r="S134" s="63">
        <v>0</v>
      </c>
      <c r="T134" s="63">
        <v>0</v>
      </c>
      <c r="U134" s="63"/>
      <c r="V134" s="1"/>
      <c r="W134" s="6"/>
      <c r="X134" s="6"/>
      <c r="Y134" s="6"/>
      <c r="Z134" s="6"/>
      <c r="AA134" s="6"/>
      <c r="AB134" s="6" t="s">
        <v>171</v>
      </c>
      <c r="AC134" s="6" t="s">
        <v>265</v>
      </c>
      <c r="AD134" s="6"/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M134" s="6" t="e">
        <f>_xlfn.XLOOKUP($C134,#REF!,#REF!,"-",0)</f>
        <v>#REF!</v>
      </c>
      <c r="AN134" s="10">
        <f t="shared" si="1"/>
        <v>0</v>
      </c>
    </row>
    <row r="135" spans="1:40" x14ac:dyDescent="0.25">
      <c r="A135" s="6" t="str">
        <f>IF(IFERROR(VLOOKUP($C135,#REF!,2,0),$C135)="Accion",CONCATENATE(IFERROR(VLOOKUP($C135,#REF!,2,0),$C135)," - ",E135),IFERROR(VLOOKUP($C135,#REF!,2,0),$C135))</f>
        <v>Samsara Inc.</v>
      </c>
      <c r="B135" s="9" t="s">
        <v>191</v>
      </c>
      <c r="C135" s="1" t="s">
        <v>104</v>
      </c>
      <c r="D135" s="1" t="s">
        <v>26</v>
      </c>
      <c r="E135" s="9" t="s">
        <v>62</v>
      </c>
      <c r="F135" s="9" t="s">
        <v>241</v>
      </c>
      <c r="G135" s="9" t="s">
        <v>263</v>
      </c>
      <c r="H135" s="63">
        <v>0</v>
      </c>
      <c r="I135" s="63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3">
        <v>0</v>
      </c>
      <c r="T135" s="63">
        <v>0</v>
      </c>
      <c r="U135" s="63"/>
      <c r="V135" s="1"/>
      <c r="W135" s="6"/>
      <c r="X135" s="6"/>
      <c r="Y135" s="6"/>
      <c r="Z135" s="6"/>
      <c r="AA135" s="6"/>
      <c r="AB135" s="6" t="s">
        <v>191</v>
      </c>
      <c r="AC135" s="6" t="s">
        <v>265</v>
      </c>
      <c r="AD135" s="6"/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M135" s="6" t="e">
        <f>_xlfn.XLOOKUP($C135,#REF!,#REF!,"-",0)</f>
        <v>#REF!</v>
      </c>
      <c r="AN135" s="10">
        <f t="shared" si="1"/>
        <v>0</v>
      </c>
    </row>
    <row r="136" spans="1:40" x14ac:dyDescent="0.25">
      <c r="A136" s="6" t="str">
        <f>IF(IFERROR(VLOOKUP($C136,#REF!,2,0),$C136)="Accion",CONCATENATE(IFERROR(VLOOKUP($C136,#REF!,2,0),$C136)," - ",E136),IFERROR(VLOOKUP($C136,#REF!,2,0),$C136))</f>
        <v>Abbott GmbH</v>
      </c>
      <c r="B136" s="9" t="s">
        <v>215</v>
      </c>
      <c r="C136" s="1" t="s">
        <v>144</v>
      </c>
      <c r="D136" s="1" t="s">
        <v>61</v>
      </c>
      <c r="E136" s="9" t="s">
        <v>62</v>
      </c>
      <c r="F136" s="9" t="s">
        <v>238</v>
      </c>
      <c r="G136" s="9" t="s">
        <v>263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/>
      <c r="V136" s="1"/>
      <c r="W136" s="6"/>
      <c r="X136" s="6"/>
      <c r="Y136" s="6"/>
      <c r="Z136" s="6"/>
      <c r="AA136" s="6"/>
      <c r="AB136" s="6" t="s">
        <v>215</v>
      </c>
      <c r="AC136" s="6" t="s">
        <v>264</v>
      </c>
      <c r="AD136" s="6"/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M136" s="6" t="e">
        <f>_xlfn.XLOOKUP($C136,#REF!,#REF!,"-",0)</f>
        <v>#REF!</v>
      </c>
      <c r="AN136" s="10">
        <f t="shared" si="1"/>
        <v>0</v>
      </c>
    </row>
    <row r="137" spans="1:40" x14ac:dyDescent="0.25">
      <c r="A137" s="6" t="str">
        <f>IF(IFERROR(VLOOKUP($C137,#REF!,2,0),$C137)="Accion",CONCATENATE(IFERROR(VLOOKUP($C137,#REF!,2,0),$C137)," - ",E137),IFERROR(VLOOKUP($C137,#REF!,2,0),$C137))</f>
        <v>World Health Organization.</v>
      </c>
      <c r="B137" s="9" t="s">
        <v>730</v>
      </c>
      <c r="C137" s="1" t="s">
        <v>143</v>
      </c>
      <c r="D137" s="1" t="s">
        <v>731</v>
      </c>
      <c r="E137" s="9" t="s">
        <v>66</v>
      </c>
      <c r="F137" s="9" t="s">
        <v>238</v>
      </c>
      <c r="G137" s="9" t="s">
        <v>263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/>
      <c r="V137" s="1"/>
      <c r="W137" s="6"/>
      <c r="X137" s="6"/>
      <c r="Y137" s="6"/>
      <c r="Z137" s="6"/>
      <c r="AA137" s="6"/>
      <c r="AB137" s="6" t="s">
        <v>730</v>
      </c>
      <c r="AC137" s="6" t="s">
        <v>264</v>
      </c>
      <c r="AD137" s="6"/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M137" s="6" t="e">
        <f>_xlfn.XLOOKUP($C137,#REF!,#REF!,"-",0)</f>
        <v>#REF!</v>
      </c>
      <c r="AN137" s="10">
        <f t="shared" si="1"/>
        <v>0</v>
      </c>
    </row>
    <row r="138" spans="1:40" x14ac:dyDescent="0.25">
      <c r="A138" s="6" t="str">
        <f>IF(IFERROR(VLOOKUP($C138,#REF!,2,0),$C138)="Accion",CONCATENATE(IFERROR(VLOOKUP($C138,#REF!,2,0),$C138)," - ",E138),IFERROR(VLOOKUP($C138,#REF!,2,0),$C138))</f>
        <v>International Atomic Energy Agency</v>
      </c>
      <c r="B138" s="9" t="s">
        <v>732</v>
      </c>
      <c r="C138" s="1" t="s">
        <v>84</v>
      </c>
      <c r="D138" s="1" t="s">
        <v>733</v>
      </c>
      <c r="E138" s="9" t="s">
        <v>66</v>
      </c>
      <c r="F138" s="9" t="s">
        <v>238</v>
      </c>
      <c r="G138" s="9" t="s">
        <v>263</v>
      </c>
      <c r="H138" s="63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/>
      <c r="V138" s="1"/>
      <c r="W138" s="6"/>
      <c r="X138" s="6"/>
      <c r="Y138" s="6"/>
      <c r="Z138" s="6"/>
      <c r="AA138" s="6"/>
      <c r="AB138" s="6" t="s">
        <v>732</v>
      </c>
      <c r="AC138" s="6" t="s">
        <v>264</v>
      </c>
      <c r="AD138" s="6"/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M138" s="6" t="e">
        <f>_xlfn.XLOOKUP($C138,#REF!,#REF!,"-",0)</f>
        <v>#REF!</v>
      </c>
      <c r="AN138" s="10">
        <f t="shared" si="1"/>
        <v>0</v>
      </c>
    </row>
    <row r="139" spans="1:40" ht="31.5" customHeight="1" x14ac:dyDescent="0.25">
      <c r="A139" s="6" t="str">
        <f>IF(IFERROR(VLOOKUP($C139,#REF!,2,0),$C139)="Accion",CONCATENATE(IFERROR(VLOOKUP($C139,#REF!,2,0),$C139)," - ",E139),IFERROR(VLOOKUP($C139,#REF!,2,0),$C139))</f>
        <v>National Informatics Centre Services Incorporated (NICSI)</v>
      </c>
      <c r="B139" s="9" t="s">
        <v>736</v>
      </c>
      <c r="C139" s="1" t="s">
        <v>187</v>
      </c>
      <c r="D139" s="1" t="s">
        <v>737</v>
      </c>
      <c r="E139" s="9" t="s">
        <v>66</v>
      </c>
      <c r="F139" s="9" t="s">
        <v>243</v>
      </c>
      <c r="G139" s="9" t="s">
        <v>263</v>
      </c>
      <c r="H139" s="63">
        <v>0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/>
      <c r="V139" s="1"/>
      <c r="W139" s="6"/>
      <c r="X139" s="6"/>
      <c r="Y139" s="6"/>
      <c r="Z139" s="6"/>
      <c r="AA139" s="6"/>
      <c r="AB139" s="6" t="s">
        <v>736</v>
      </c>
      <c r="AC139" s="6" t="s">
        <v>266</v>
      </c>
      <c r="AD139" s="6"/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M139" s="6" t="e">
        <f>_xlfn.XLOOKUP($C139,#REF!,#REF!,"-",0)</f>
        <v>#REF!</v>
      </c>
      <c r="AN139" s="10">
        <f t="shared" ref="AN139:AN202" si="2">IF(H139&gt;0,1,IF(H139&lt;0,-1,0))</f>
        <v>0</v>
      </c>
    </row>
    <row r="140" spans="1:40" x14ac:dyDescent="0.25">
      <c r="A140" s="6" t="str">
        <f>IF(IFERROR(VLOOKUP($C140,#REF!,2,0),$C140)="Accion",CONCATENATE(IFERROR(VLOOKUP($C140,#REF!,2,0),$C140)," - ",E140),IFERROR(VLOOKUP($C140,#REF!,2,0),$C140))</f>
        <v>International Atomic Energy Agency</v>
      </c>
      <c r="B140" s="9" t="s">
        <v>738</v>
      </c>
      <c r="C140" s="1" t="s">
        <v>84</v>
      </c>
      <c r="D140" s="1" t="s">
        <v>739</v>
      </c>
      <c r="E140" s="9" t="s">
        <v>66</v>
      </c>
      <c r="F140" s="9" t="s">
        <v>238</v>
      </c>
      <c r="G140" s="9" t="s">
        <v>263</v>
      </c>
      <c r="H140" s="63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/>
      <c r="V140" s="1"/>
      <c r="W140" s="6"/>
      <c r="X140" s="6"/>
      <c r="Y140" s="6"/>
      <c r="Z140" s="6"/>
      <c r="AA140" s="6"/>
      <c r="AB140" s="6" t="s">
        <v>738</v>
      </c>
      <c r="AC140" s="6" t="s">
        <v>264</v>
      </c>
      <c r="AD140" s="6"/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M140" s="6" t="e">
        <f>_xlfn.XLOOKUP($C140,#REF!,#REF!,"-",0)</f>
        <v>#REF!</v>
      </c>
      <c r="AN140" s="10">
        <f t="shared" si="2"/>
        <v>0</v>
      </c>
    </row>
    <row r="141" spans="1:40" x14ac:dyDescent="0.25">
      <c r="A141" s="6" t="str">
        <f>IF(IFERROR(VLOOKUP($C141,#REF!,2,0),$C141)="Accion",CONCATENATE(IFERROR(VLOOKUP($C141,#REF!,2,0),$C141)," - ",E141),IFERROR(VLOOKUP($C141,#REF!,2,0),$C141))</f>
        <v>International Atomic Energy Agency</v>
      </c>
      <c r="B141" s="9" t="s">
        <v>740</v>
      </c>
      <c r="C141" s="1" t="s">
        <v>84</v>
      </c>
      <c r="D141" s="1" t="s">
        <v>741</v>
      </c>
      <c r="E141" s="9" t="s">
        <v>66</v>
      </c>
      <c r="F141" s="9" t="s">
        <v>238</v>
      </c>
      <c r="G141" s="9" t="s">
        <v>263</v>
      </c>
      <c r="H141" s="63">
        <v>0</v>
      </c>
      <c r="I141" s="63">
        <v>0</v>
      </c>
      <c r="J141" s="63">
        <v>0</v>
      </c>
      <c r="K141" s="63">
        <v>0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3">
        <v>0</v>
      </c>
      <c r="T141" s="63">
        <v>0</v>
      </c>
      <c r="U141" s="63"/>
      <c r="V141" s="1"/>
      <c r="W141" s="6"/>
      <c r="X141" s="6"/>
      <c r="Y141" s="6"/>
      <c r="Z141" s="6"/>
      <c r="AA141" s="6"/>
      <c r="AB141" s="6" t="s">
        <v>740</v>
      </c>
      <c r="AC141" s="6" t="s">
        <v>264</v>
      </c>
      <c r="AD141" s="6"/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M141" s="6" t="e">
        <f>_xlfn.XLOOKUP($C141,#REF!,#REF!,"-",0)</f>
        <v>#REF!</v>
      </c>
      <c r="AN141" s="10">
        <f t="shared" si="2"/>
        <v>0</v>
      </c>
    </row>
    <row r="142" spans="1:40" x14ac:dyDescent="0.25">
      <c r="A142" s="6" t="str">
        <f>IF(IFERROR(VLOOKUP($C142,#REF!,2,0),$C142)="Accion",CONCATENATE(IFERROR(VLOOKUP($C142,#REF!,2,0),$C142)," - ",E142),IFERROR(VLOOKUP($C142,#REF!,2,0),$C142))</f>
        <v>Accion Labs US, Inc.</v>
      </c>
      <c r="B142" s="9" t="s">
        <v>742</v>
      </c>
      <c r="C142" s="1" t="s">
        <v>149</v>
      </c>
      <c r="D142" s="1" t="s">
        <v>743</v>
      </c>
      <c r="E142" s="9" t="s">
        <v>62</v>
      </c>
      <c r="F142" s="9" t="s">
        <v>241</v>
      </c>
      <c r="G142" s="9" t="s">
        <v>263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/>
      <c r="V142" s="1"/>
      <c r="W142" s="6"/>
      <c r="X142" s="6"/>
      <c r="Y142" s="6"/>
      <c r="Z142" s="6"/>
      <c r="AA142" s="6"/>
      <c r="AB142" s="6" t="s">
        <v>742</v>
      </c>
      <c r="AC142" s="6" t="s">
        <v>265</v>
      </c>
      <c r="AD142" s="6"/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M142" s="6" t="e">
        <f>_xlfn.XLOOKUP($C142,#REF!,#REF!,"-",0)</f>
        <v>#REF!</v>
      </c>
      <c r="AN142" s="10">
        <f t="shared" si="2"/>
        <v>0</v>
      </c>
    </row>
    <row r="143" spans="1:40" x14ac:dyDescent="0.25">
      <c r="A143" s="6" t="str">
        <f>IF(IFERROR(VLOOKUP($C143,#REF!,2,0),$C143)="Accion",CONCATENATE(IFERROR(VLOOKUP($C143,#REF!,2,0),$C143)," - ",E143),IFERROR(VLOOKUP($C143,#REF!,2,0),$C143))</f>
        <v>Accion Labs US, Inc.</v>
      </c>
      <c r="B143" s="9" t="s">
        <v>744</v>
      </c>
      <c r="C143" s="1" t="s">
        <v>149</v>
      </c>
      <c r="D143" s="1" t="s">
        <v>745</v>
      </c>
      <c r="E143" s="9" t="s">
        <v>62</v>
      </c>
      <c r="F143" s="9" t="s">
        <v>241</v>
      </c>
      <c r="G143" s="9" t="s">
        <v>263</v>
      </c>
      <c r="H143" s="63">
        <v>0</v>
      </c>
      <c r="I143" s="63">
        <v>0</v>
      </c>
      <c r="J143" s="63">
        <v>0</v>
      </c>
      <c r="K143" s="63">
        <v>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  <c r="Q143" s="63">
        <v>0</v>
      </c>
      <c r="R143" s="63">
        <v>0</v>
      </c>
      <c r="S143" s="63">
        <v>0</v>
      </c>
      <c r="T143" s="63">
        <v>0</v>
      </c>
      <c r="U143" s="63"/>
      <c r="V143" s="1"/>
      <c r="W143" s="6"/>
      <c r="X143" s="6"/>
      <c r="Y143" s="6"/>
      <c r="Z143" s="6"/>
      <c r="AA143" s="6"/>
      <c r="AB143" s="6" t="s">
        <v>744</v>
      </c>
      <c r="AC143" s="6" t="s">
        <v>265</v>
      </c>
      <c r="AD143" s="6"/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M143" s="6" t="e">
        <f>_xlfn.XLOOKUP($C143,#REF!,#REF!,"-",0)</f>
        <v>#REF!</v>
      </c>
      <c r="AN143" s="10">
        <f t="shared" si="2"/>
        <v>0</v>
      </c>
    </row>
    <row r="144" spans="1:40" ht="27" customHeight="1" x14ac:dyDescent="0.25">
      <c r="A144" s="6" t="str">
        <f>IF(IFERROR(VLOOKUP($C144,#REF!,2,0),$C144)="Accion",CONCATENATE(IFERROR(VLOOKUP($C144,#REF!,2,0),$C144)," - ",E144),IFERROR(VLOOKUP($C144,#REF!,2,0),$C144))</f>
        <v>Accion Labs US, Inc.</v>
      </c>
      <c r="B144" s="9" t="s">
        <v>746</v>
      </c>
      <c r="C144" s="1" t="s">
        <v>149</v>
      </c>
      <c r="D144" s="1" t="s">
        <v>747</v>
      </c>
      <c r="E144" s="9" t="s">
        <v>62</v>
      </c>
      <c r="F144" s="9" t="s">
        <v>241</v>
      </c>
      <c r="G144" s="9" t="s">
        <v>263</v>
      </c>
      <c r="H144" s="63">
        <v>0</v>
      </c>
      <c r="I144" s="63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  <c r="Q144" s="63">
        <v>0</v>
      </c>
      <c r="R144" s="63">
        <v>0</v>
      </c>
      <c r="S144" s="63">
        <v>0</v>
      </c>
      <c r="T144" s="63">
        <v>0</v>
      </c>
      <c r="U144" s="63"/>
      <c r="V144" s="1"/>
      <c r="W144" s="6"/>
      <c r="X144" s="6"/>
      <c r="Y144" s="6"/>
      <c r="Z144" s="6"/>
      <c r="AA144" s="6"/>
      <c r="AB144" s="6" t="s">
        <v>746</v>
      </c>
      <c r="AC144" s="6" t="s">
        <v>265</v>
      </c>
      <c r="AD144" s="6"/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M144" s="6" t="e">
        <f>_xlfn.XLOOKUP($C144,#REF!,#REF!,"-",0)</f>
        <v>#REF!</v>
      </c>
      <c r="AN144" s="10">
        <f t="shared" si="2"/>
        <v>0</v>
      </c>
    </row>
    <row r="145" spans="1:40" x14ac:dyDescent="0.25">
      <c r="A145" s="6" t="str">
        <f>IF(IFERROR(VLOOKUP($C145,#REF!,2,0),$C145)="Accion",CONCATENATE(IFERROR(VLOOKUP($C145,#REF!,2,0),$C145)," - ",E145),IFERROR(VLOOKUP($C145,#REF!,2,0),$C145))</f>
        <v>Accion Labs US, Inc.</v>
      </c>
      <c r="B145" s="9" t="s">
        <v>748</v>
      </c>
      <c r="C145" s="1" t="s">
        <v>149</v>
      </c>
      <c r="D145" s="1" t="s">
        <v>749</v>
      </c>
      <c r="E145" s="9" t="s">
        <v>62</v>
      </c>
      <c r="F145" s="9" t="s">
        <v>241</v>
      </c>
      <c r="G145" s="9" t="s">
        <v>263</v>
      </c>
      <c r="H145" s="63">
        <v>0</v>
      </c>
      <c r="I145" s="63">
        <v>0</v>
      </c>
      <c r="J145" s="63">
        <v>0</v>
      </c>
      <c r="K145" s="63">
        <v>0</v>
      </c>
      <c r="L145" s="63">
        <v>0</v>
      </c>
      <c r="M145" s="63">
        <v>0</v>
      </c>
      <c r="N145" s="63">
        <v>0</v>
      </c>
      <c r="O145" s="63">
        <v>0</v>
      </c>
      <c r="P145" s="63">
        <v>0</v>
      </c>
      <c r="Q145" s="63">
        <v>0</v>
      </c>
      <c r="R145" s="63">
        <v>0</v>
      </c>
      <c r="S145" s="63">
        <v>0</v>
      </c>
      <c r="T145" s="63">
        <v>0</v>
      </c>
      <c r="U145" s="63"/>
      <c r="V145" s="1"/>
      <c r="W145" s="6"/>
      <c r="X145" s="6"/>
      <c r="Y145" s="6"/>
      <c r="Z145" s="6"/>
      <c r="AA145" s="6"/>
      <c r="AB145" s="6" t="s">
        <v>748</v>
      </c>
      <c r="AC145" s="6" t="s">
        <v>265</v>
      </c>
      <c r="AD145" s="6"/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M145" s="6" t="e">
        <f>_xlfn.XLOOKUP($C145,#REF!,#REF!,"-",0)</f>
        <v>#REF!</v>
      </c>
      <c r="AN145" s="10">
        <f t="shared" si="2"/>
        <v>0</v>
      </c>
    </row>
    <row r="146" spans="1:40" x14ac:dyDescent="0.25">
      <c r="A146" s="6" t="str">
        <f>IF(IFERROR(VLOOKUP($C146,#REF!,2,0),$C146)="Accion",CONCATENATE(IFERROR(VLOOKUP($C146,#REF!,2,0),$C146)," - ",E146),IFERROR(VLOOKUP($C146,#REF!,2,0),$C146))</f>
        <v>Accion Labs US, Inc.</v>
      </c>
      <c r="B146" s="9" t="s">
        <v>750</v>
      </c>
      <c r="C146" s="1" t="s">
        <v>149</v>
      </c>
      <c r="D146" s="1" t="s">
        <v>751</v>
      </c>
      <c r="E146" s="9" t="s">
        <v>62</v>
      </c>
      <c r="F146" s="9" t="s">
        <v>241</v>
      </c>
      <c r="G146" s="9" t="s">
        <v>263</v>
      </c>
      <c r="H146" s="63">
        <v>0</v>
      </c>
      <c r="I146" s="63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/>
      <c r="V146" s="1"/>
      <c r="W146" s="6"/>
      <c r="X146" s="6"/>
      <c r="Y146" s="6"/>
      <c r="Z146" s="6"/>
      <c r="AA146" s="6"/>
      <c r="AB146" s="6" t="s">
        <v>750</v>
      </c>
      <c r="AC146" s="6" t="s">
        <v>265</v>
      </c>
      <c r="AD146" s="6"/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M146" s="6" t="e">
        <f>_xlfn.XLOOKUP($C146,#REF!,#REF!,"-",0)</f>
        <v>#REF!</v>
      </c>
      <c r="AN146" s="10">
        <f t="shared" si="2"/>
        <v>0</v>
      </c>
    </row>
    <row r="147" spans="1:40" x14ac:dyDescent="0.25">
      <c r="A147" s="6" t="str">
        <f>IF(IFERROR(VLOOKUP($C147,#REF!,2,0),$C147)="Accion",CONCATENATE(IFERROR(VLOOKUP($C147,#REF!,2,0),$C147)," - ",E147),IFERROR(VLOOKUP($C147,#REF!,2,0),$C147))</f>
        <v>Accion Labs US, Inc.</v>
      </c>
      <c r="B147" s="9" t="s">
        <v>752</v>
      </c>
      <c r="C147" s="1" t="s">
        <v>149</v>
      </c>
      <c r="D147" s="1" t="s">
        <v>753</v>
      </c>
      <c r="E147" s="9" t="s">
        <v>62</v>
      </c>
      <c r="F147" s="9" t="s">
        <v>241</v>
      </c>
      <c r="G147" s="9" t="s">
        <v>263</v>
      </c>
      <c r="H147" s="63">
        <v>0</v>
      </c>
      <c r="I147" s="63">
        <v>0</v>
      </c>
      <c r="J147" s="63">
        <v>0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  <c r="Q147" s="63">
        <v>0</v>
      </c>
      <c r="R147" s="63">
        <v>0</v>
      </c>
      <c r="S147" s="63">
        <v>0</v>
      </c>
      <c r="T147" s="63">
        <v>0</v>
      </c>
      <c r="U147" s="63"/>
      <c r="V147" s="1"/>
      <c r="W147" s="6"/>
      <c r="X147" s="6"/>
      <c r="Y147" s="6"/>
      <c r="Z147" s="6"/>
      <c r="AA147" s="6"/>
      <c r="AB147" s="6" t="s">
        <v>752</v>
      </c>
      <c r="AC147" s="6" t="s">
        <v>265</v>
      </c>
      <c r="AD147" s="6"/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M147" s="6" t="e">
        <f>_xlfn.XLOOKUP($C147,#REF!,#REF!,"-",0)</f>
        <v>#REF!</v>
      </c>
      <c r="AN147" s="10">
        <f t="shared" si="2"/>
        <v>0</v>
      </c>
    </row>
    <row r="148" spans="1:40" x14ac:dyDescent="0.25">
      <c r="A148" s="6" t="str">
        <f>IF(IFERROR(VLOOKUP($C148,#REF!,2,0),$C148)="Accion",CONCATENATE(IFERROR(VLOOKUP($C148,#REF!,2,0),$C148)," - ",E148),IFERROR(VLOOKUP($C148,#REF!,2,0),$C148))</f>
        <v>Accion Labs US, Inc.</v>
      </c>
      <c r="B148" s="9" t="s">
        <v>754</v>
      </c>
      <c r="C148" s="1" t="s">
        <v>149</v>
      </c>
      <c r="D148" s="1" t="s">
        <v>755</v>
      </c>
      <c r="E148" s="9" t="s">
        <v>62</v>
      </c>
      <c r="F148" s="9" t="s">
        <v>241</v>
      </c>
      <c r="G148" s="9" t="s">
        <v>263</v>
      </c>
      <c r="H148" s="63">
        <v>0</v>
      </c>
      <c r="I148" s="63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v>0</v>
      </c>
      <c r="R148" s="63">
        <v>0</v>
      </c>
      <c r="S148" s="63">
        <v>0</v>
      </c>
      <c r="T148" s="63">
        <v>0</v>
      </c>
      <c r="U148" s="63"/>
      <c r="V148" s="1"/>
      <c r="W148" s="6"/>
      <c r="X148" s="6"/>
      <c r="Y148" s="6"/>
      <c r="Z148" s="6"/>
      <c r="AA148" s="6"/>
      <c r="AB148" s="6" t="s">
        <v>754</v>
      </c>
      <c r="AC148" s="6" t="s">
        <v>265</v>
      </c>
      <c r="AD148" s="6"/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M148" s="6" t="e">
        <f>_xlfn.XLOOKUP($C148,#REF!,#REF!,"-",0)</f>
        <v>#REF!</v>
      </c>
      <c r="AN148" s="10">
        <f t="shared" si="2"/>
        <v>0</v>
      </c>
    </row>
    <row r="149" spans="1:40" x14ac:dyDescent="0.25">
      <c r="A149" s="6" t="str">
        <f>IF(IFERROR(VLOOKUP($C149,#REF!,2,0),$C149)="Accion",CONCATENATE(IFERROR(VLOOKUP($C149,#REF!,2,0),$C149)," - ",E149),IFERROR(VLOOKUP($C149,#REF!,2,0),$C149))</f>
        <v>Accion Labs US, Inc.</v>
      </c>
      <c r="B149" s="9" t="s">
        <v>756</v>
      </c>
      <c r="C149" s="1" t="s">
        <v>149</v>
      </c>
      <c r="D149" s="1" t="s">
        <v>757</v>
      </c>
      <c r="E149" s="9" t="s">
        <v>62</v>
      </c>
      <c r="F149" s="9" t="s">
        <v>241</v>
      </c>
      <c r="G149" s="9" t="s">
        <v>263</v>
      </c>
      <c r="H149" s="63">
        <v>0</v>
      </c>
      <c r="I149" s="63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/>
      <c r="V149" s="1"/>
      <c r="W149" s="6"/>
      <c r="X149" s="6"/>
      <c r="Y149" s="6"/>
      <c r="Z149" s="6"/>
      <c r="AA149" s="6"/>
      <c r="AB149" s="6" t="s">
        <v>756</v>
      </c>
      <c r="AC149" s="6" t="s">
        <v>265</v>
      </c>
      <c r="AD149" s="6"/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M149" s="6" t="e">
        <f>_xlfn.XLOOKUP($C149,#REF!,#REF!,"-",0)</f>
        <v>#REF!</v>
      </c>
      <c r="AN149" s="10">
        <f t="shared" si="2"/>
        <v>0</v>
      </c>
    </row>
    <row r="150" spans="1:40" x14ac:dyDescent="0.25">
      <c r="A150" s="6" t="str">
        <f>IF(IFERROR(VLOOKUP($C150,#REF!,2,0),$C150)="Accion",CONCATENATE(IFERROR(VLOOKUP($C150,#REF!,2,0),$C150)," - ",E150),IFERROR(VLOOKUP($C150,#REF!,2,0),$C150))</f>
        <v>Accion Labs US, Inc.</v>
      </c>
      <c r="B150" s="9" t="s">
        <v>758</v>
      </c>
      <c r="C150" s="1" t="s">
        <v>149</v>
      </c>
      <c r="D150" s="1" t="s">
        <v>759</v>
      </c>
      <c r="E150" s="9" t="s">
        <v>62</v>
      </c>
      <c r="F150" s="9" t="s">
        <v>241</v>
      </c>
      <c r="G150" s="9" t="s">
        <v>263</v>
      </c>
      <c r="H150" s="63">
        <v>0</v>
      </c>
      <c r="I150" s="63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3"/>
      <c r="V150" s="1"/>
      <c r="W150" s="6"/>
      <c r="X150" s="6"/>
      <c r="Y150" s="6"/>
      <c r="Z150" s="6"/>
      <c r="AA150" s="6"/>
      <c r="AB150" s="6" t="s">
        <v>758</v>
      </c>
      <c r="AC150" s="6" t="s">
        <v>265</v>
      </c>
      <c r="AD150" s="6"/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M150" s="6" t="e">
        <f>_xlfn.XLOOKUP($C150,#REF!,#REF!,"-",0)</f>
        <v>#REF!</v>
      </c>
      <c r="AN150" s="10">
        <f t="shared" si="2"/>
        <v>0</v>
      </c>
    </row>
    <row r="151" spans="1:40" x14ac:dyDescent="0.25">
      <c r="A151" s="6" t="str">
        <f>IF(IFERROR(VLOOKUP($C151,#REF!,2,0),$C151)="Accion",CONCATENATE(IFERROR(VLOOKUP($C151,#REF!,2,0),$C151)," - ",E151),IFERROR(VLOOKUP($C151,#REF!,2,0),$C151))</f>
        <v>Accion Labs US, Inc.</v>
      </c>
      <c r="B151" s="9" t="s">
        <v>760</v>
      </c>
      <c r="C151" s="1" t="s">
        <v>149</v>
      </c>
      <c r="D151" s="1" t="s">
        <v>761</v>
      </c>
      <c r="E151" s="9" t="s">
        <v>62</v>
      </c>
      <c r="F151" s="9" t="s">
        <v>241</v>
      </c>
      <c r="G151" s="9" t="s">
        <v>263</v>
      </c>
      <c r="H151" s="63">
        <v>0</v>
      </c>
      <c r="I151" s="63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0</v>
      </c>
      <c r="S151" s="63">
        <v>0</v>
      </c>
      <c r="T151" s="63">
        <v>0</v>
      </c>
      <c r="U151" s="63"/>
      <c r="V151" s="1"/>
      <c r="W151" s="6"/>
      <c r="X151" s="6"/>
      <c r="Y151" s="6"/>
      <c r="Z151" s="6"/>
      <c r="AA151" s="6"/>
      <c r="AB151" s="6" t="s">
        <v>760</v>
      </c>
      <c r="AC151" s="6" t="s">
        <v>265</v>
      </c>
      <c r="AD151" s="6"/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M151" s="6" t="e">
        <f>_xlfn.XLOOKUP($C151,#REF!,#REF!,"-",0)</f>
        <v>#REF!</v>
      </c>
      <c r="AN151" s="10">
        <f t="shared" si="2"/>
        <v>0</v>
      </c>
    </row>
    <row r="152" spans="1:40" x14ac:dyDescent="0.25">
      <c r="A152" s="6" t="str">
        <f>IF(IFERROR(VLOOKUP($C152,#REF!,2,0),$C152)="Accion",CONCATENATE(IFERROR(VLOOKUP($C152,#REF!,2,0),$C152)," - ",E152),IFERROR(VLOOKUP($C152,#REF!,2,0),$C152))</f>
        <v>Accion Labs US, Inc.</v>
      </c>
      <c r="B152" s="9" t="s">
        <v>762</v>
      </c>
      <c r="C152" s="1" t="s">
        <v>149</v>
      </c>
      <c r="D152" s="1" t="s">
        <v>763</v>
      </c>
      <c r="E152" s="9" t="s">
        <v>62</v>
      </c>
      <c r="F152" s="9" t="s">
        <v>241</v>
      </c>
      <c r="G152" s="9" t="s">
        <v>263</v>
      </c>
      <c r="H152" s="63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/>
      <c r="V152" s="1"/>
      <c r="W152" s="6"/>
      <c r="X152" s="6"/>
      <c r="Y152" s="6"/>
      <c r="Z152" s="6"/>
      <c r="AA152" s="6"/>
      <c r="AB152" s="6" t="s">
        <v>762</v>
      </c>
      <c r="AC152" s="6" t="s">
        <v>265</v>
      </c>
      <c r="AD152" s="6"/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M152" s="6" t="e">
        <f>_xlfn.XLOOKUP($C152,#REF!,#REF!,"-",0)</f>
        <v>#REF!</v>
      </c>
      <c r="AN152" s="10">
        <f t="shared" si="2"/>
        <v>0</v>
      </c>
    </row>
    <row r="153" spans="1:40" x14ac:dyDescent="0.25">
      <c r="A153" s="6" t="str">
        <f>IF(IFERROR(VLOOKUP($C153,#REF!,2,0),$C153)="Accion",CONCATENATE(IFERROR(VLOOKUP($C153,#REF!,2,0),$C153)," - ",E153),IFERROR(VLOOKUP($C153,#REF!,2,0),$C153))</f>
        <v>Accion Labs US, Inc.</v>
      </c>
      <c r="B153" s="9" t="s">
        <v>764</v>
      </c>
      <c r="C153" s="1" t="s">
        <v>149</v>
      </c>
      <c r="D153" s="1" t="s">
        <v>765</v>
      </c>
      <c r="E153" s="9" t="s">
        <v>62</v>
      </c>
      <c r="F153" s="9" t="s">
        <v>241</v>
      </c>
      <c r="G153" s="9" t="s">
        <v>263</v>
      </c>
      <c r="H153" s="63">
        <v>0</v>
      </c>
      <c r="I153" s="63">
        <v>0</v>
      </c>
      <c r="J153" s="63">
        <v>0</v>
      </c>
      <c r="K153" s="63">
        <v>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3">
        <v>0</v>
      </c>
      <c r="T153" s="63">
        <v>0</v>
      </c>
      <c r="U153" s="63"/>
      <c r="V153" s="1"/>
      <c r="W153" s="6"/>
      <c r="X153" s="6"/>
      <c r="Y153" s="6"/>
      <c r="Z153" s="6"/>
      <c r="AA153" s="6"/>
      <c r="AB153" s="6" t="s">
        <v>764</v>
      </c>
      <c r="AC153" s="6" t="s">
        <v>265</v>
      </c>
      <c r="AD153" s="6"/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M153" s="6" t="e">
        <f>_xlfn.XLOOKUP($C153,#REF!,#REF!,"-",0)</f>
        <v>#REF!</v>
      </c>
      <c r="AN153" s="10">
        <f t="shared" si="2"/>
        <v>0</v>
      </c>
    </row>
    <row r="154" spans="1:40" x14ac:dyDescent="0.25">
      <c r="A154" s="6" t="str">
        <f>IF(IFERROR(VLOOKUP($C154,#REF!,2,0),$C154)="Accion",CONCATENATE(IFERROR(VLOOKUP($C154,#REF!,2,0),$C154)," - ",E154),IFERROR(VLOOKUP($C154,#REF!,2,0),$C154))</f>
        <v>Accion Labs US, Inc.</v>
      </c>
      <c r="B154" s="9" t="s">
        <v>766</v>
      </c>
      <c r="C154" s="1" t="s">
        <v>149</v>
      </c>
      <c r="D154" s="1" t="s">
        <v>767</v>
      </c>
      <c r="E154" s="9" t="s">
        <v>62</v>
      </c>
      <c r="F154" s="9" t="s">
        <v>241</v>
      </c>
      <c r="G154" s="9" t="s">
        <v>263</v>
      </c>
      <c r="H154" s="63">
        <v>0</v>
      </c>
      <c r="I154" s="63">
        <v>0</v>
      </c>
      <c r="J154" s="63">
        <v>0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0</v>
      </c>
      <c r="T154" s="63">
        <v>0</v>
      </c>
      <c r="U154" s="63"/>
      <c r="V154" s="1"/>
      <c r="W154" s="6"/>
      <c r="X154" s="6"/>
      <c r="Y154" s="6"/>
      <c r="Z154" s="6"/>
      <c r="AA154" s="6"/>
      <c r="AB154" s="6" t="s">
        <v>766</v>
      </c>
      <c r="AC154" s="6" t="s">
        <v>265</v>
      </c>
      <c r="AD154" s="6"/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M154" s="6" t="e">
        <f>_xlfn.XLOOKUP($C154,#REF!,#REF!,"-",0)</f>
        <v>#REF!</v>
      </c>
      <c r="AN154" s="10">
        <f t="shared" si="2"/>
        <v>0</v>
      </c>
    </row>
    <row r="155" spans="1:40" x14ac:dyDescent="0.25">
      <c r="A155" s="6" t="str">
        <f>IF(IFERROR(VLOOKUP($C155,#REF!,2,0),$C155)="Accion",CONCATENATE(IFERROR(VLOOKUP($C155,#REF!,2,0),$C155)," - ",E155),IFERROR(VLOOKUP($C155,#REF!,2,0),$C155))</f>
        <v>Accion Labs US, Inc.</v>
      </c>
      <c r="B155" s="9" t="s">
        <v>768</v>
      </c>
      <c r="C155" s="1" t="s">
        <v>149</v>
      </c>
      <c r="D155" s="1" t="s">
        <v>769</v>
      </c>
      <c r="E155" s="9" t="s">
        <v>62</v>
      </c>
      <c r="F155" s="9" t="s">
        <v>241</v>
      </c>
      <c r="G155" s="9" t="s">
        <v>263</v>
      </c>
      <c r="H155" s="63">
        <v>0</v>
      </c>
      <c r="I155" s="63">
        <v>0</v>
      </c>
      <c r="J155" s="63">
        <v>0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v>0</v>
      </c>
      <c r="R155" s="63">
        <v>0</v>
      </c>
      <c r="S155" s="63">
        <v>0</v>
      </c>
      <c r="T155" s="63">
        <v>0</v>
      </c>
      <c r="U155" s="63"/>
      <c r="V155" s="1"/>
      <c r="W155" s="6"/>
      <c r="X155" s="6"/>
      <c r="Y155" s="6"/>
      <c r="Z155" s="6"/>
      <c r="AA155" s="6"/>
      <c r="AB155" s="6" t="s">
        <v>768</v>
      </c>
      <c r="AC155" s="6" t="s">
        <v>265</v>
      </c>
      <c r="AD155" s="6"/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M155" s="6" t="e">
        <f>_xlfn.XLOOKUP($C155,#REF!,#REF!,"-",0)</f>
        <v>#REF!</v>
      </c>
      <c r="AN155" s="10">
        <f t="shared" si="2"/>
        <v>0</v>
      </c>
    </row>
    <row r="156" spans="1:40" x14ac:dyDescent="0.25">
      <c r="A156" s="6" t="str">
        <f>IF(IFERROR(VLOOKUP($C156,#REF!,2,0),$C156)="Accion",CONCATENATE(IFERROR(VLOOKUP($C156,#REF!,2,0),$C156)," - ",E156),IFERROR(VLOOKUP($C156,#REF!,2,0),$C156))</f>
        <v>Accion Labs US, Inc.</v>
      </c>
      <c r="B156" s="9" t="s">
        <v>770</v>
      </c>
      <c r="C156" s="1" t="s">
        <v>149</v>
      </c>
      <c r="D156" s="1" t="s">
        <v>771</v>
      </c>
      <c r="E156" s="9" t="s">
        <v>62</v>
      </c>
      <c r="F156" s="9" t="s">
        <v>241</v>
      </c>
      <c r="G156" s="9" t="s">
        <v>263</v>
      </c>
      <c r="H156" s="63">
        <v>0</v>
      </c>
      <c r="I156" s="63">
        <v>0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  <c r="R156" s="63">
        <v>0</v>
      </c>
      <c r="S156" s="63">
        <v>0</v>
      </c>
      <c r="T156" s="63">
        <v>0</v>
      </c>
      <c r="U156" s="63"/>
      <c r="V156" s="1"/>
      <c r="W156" s="6"/>
      <c r="X156" s="6"/>
      <c r="Y156" s="6"/>
      <c r="Z156" s="6"/>
      <c r="AA156" s="6"/>
      <c r="AB156" s="6" t="s">
        <v>770</v>
      </c>
      <c r="AC156" s="6" t="s">
        <v>265</v>
      </c>
      <c r="AD156" s="6"/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M156" s="6" t="e">
        <f>_xlfn.XLOOKUP($C156,#REF!,#REF!,"-",0)</f>
        <v>#REF!</v>
      </c>
      <c r="AN156" s="10">
        <f t="shared" si="2"/>
        <v>0</v>
      </c>
    </row>
    <row r="157" spans="1:40" x14ac:dyDescent="0.25">
      <c r="A157" s="6" t="str">
        <f>IF(IFERROR(VLOOKUP($C157,#REF!,2,0),$C157)="Accion",CONCATENATE(IFERROR(VLOOKUP($C157,#REF!,2,0),$C157)," - ",E157),IFERROR(VLOOKUP($C157,#REF!,2,0),$C157))</f>
        <v>Accion Labs US, Inc.</v>
      </c>
      <c r="B157" s="9" t="s">
        <v>772</v>
      </c>
      <c r="C157" s="1" t="s">
        <v>149</v>
      </c>
      <c r="D157" s="1" t="s">
        <v>773</v>
      </c>
      <c r="E157" s="9" t="s">
        <v>62</v>
      </c>
      <c r="F157" s="9" t="s">
        <v>241</v>
      </c>
      <c r="G157" s="9" t="s">
        <v>263</v>
      </c>
      <c r="H157" s="63">
        <v>0</v>
      </c>
      <c r="I157" s="63">
        <v>0</v>
      </c>
      <c r="J157" s="63">
        <v>0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  <c r="R157" s="63">
        <v>0</v>
      </c>
      <c r="S157" s="63">
        <v>0</v>
      </c>
      <c r="T157" s="63">
        <v>0</v>
      </c>
      <c r="U157" s="63"/>
      <c r="V157" s="1"/>
      <c r="W157" s="6"/>
      <c r="X157" s="6"/>
      <c r="Y157" s="6"/>
      <c r="Z157" s="6"/>
      <c r="AA157" s="6"/>
      <c r="AB157" s="6" t="s">
        <v>772</v>
      </c>
      <c r="AC157" s="6" t="s">
        <v>265</v>
      </c>
      <c r="AD157" s="6"/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M157" s="6" t="e">
        <f>_xlfn.XLOOKUP($C157,#REF!,#REF!,"-",0)</f>
        <v>#REF!</v>
      </c>
      <c r="AN157" s="10">
        <f t="shared" si="2"/>
        <v>0</v>
      </c>
    </row>
    <row r="158" spans="1:40" x14ac:dyDescent="0.25">
      <c r="A158" s="6" t="str">
        <f>IF(IFERROR(VLOOKUP($C158,#REF!,2,0),$C158)="Accion",CONCATENATE(IFERROR(VLOOKUP($C158,#REF!,2,0),$C158)," - ",E158),IFERROR(VLOOKUP($C158,#REF!,2,0),$C158))</f>
        <v>Accion Labs US, Inc.</v>
      </c>
      <c r="B158" s="9" t="s">
        <v>774</v>
      </c>
      <c r="C158" s="1" t="s">
        <v>149</v>
      </c>
      <c r="D158" s="1" t="s">
        <v>775</v>
      </c>
      <c r="E158" s="9" t="s">
        <v>62</v>
      </c>
      <c r="F158" s="9" t="s">
        <v>241</v>
      </c>
      <c r="G158" s="9" t="s">
        <v>263</v>
      </c>
      <c r="H158" s="63">
        <v>0</v>
      </c>
      <c r="I158" s="63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/>
      <c r="V158" s="1"/>
      <c r="W158" s="6"/>
      <c r="X158" s="6"/>
      <c r="Y158" s="6"/>
      <c r="Z158" s="6"/>
      <c r="AA158" s="6"/>
      <c r="AB158" s="6" t="s">
        <v>774</v>
      </c>
      <c r="AC158" s="6" t="s">
        <v>265</v>
      </c>
      <c r="AD158" s="6"/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M158" s="6" t="e">
        <f>_xlfn.XLOOKUP($C158,#REF!,#REF!,"-",0)</f>
        <v>#REF!</v>
      </c>
      <c r="AN158" s="10">
        <f t="shared" si="2"/>
        <v>0</v>
      </c>
    </row>
    <row r="159" spans="1:40" x14ac:dyDescent="0.25">
      <c r="A159" s="6" t="str">
        <f>IF(IFERROR(VLOOKUP($C159,#REF!,2,0),$C159)="Accion",CONCATENATE(IFERROR(VLOOKUP($C159,#REF!,2,0),$C159)," - ",E159),IFERROR(VLOOKUP($C159,#REF!,2,0),$C159))</f>
        <v>Accion Labs US, Inc.</v>
      </c>
      <c r="B159" s="9" t="s">
        <v>776</v>
      </c>
      <c r="C159" s="1" t="s">
        <v>149</v>
      </c>
      <c r="D159" s="1" t="s">
        <v>777</v>
      </c>
      <c r="E159" s="9" t="s">
        <v>62</v>
      </c>
      <c r="F159" s="9" t="s">
        <v>241</v>
      </c>
      <c r="G159" s="9" t="s">
        <v>263</v>
      </c>
      <c r="H159" s="63">
        <v>0</v>
      </c>
      <c r="I159" s="63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3"/>
      <c r="V159" s="1"/>
      <c r="W159" s="6"/>
      <c r="X159" s="6"/>
      <c r="Y159" s="6"/>
      <c r="Z159" s="6"/>
      <c r="AA159" s="6"/>
      <c r="AB159" s="6" t="s">
        <v>776</v>
      </c>
      <c r="AC159" s="6" t="s">
        <v>265</v>
      </c>
      <c r="AD159" s="6"/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M159" s="6" t="e">
        <f>_xlfn.XLOOKUP($C159,#REF!,#REF!,"-",0)</f>
        <v>#REF!</v>
      </c>
      <c r="AN159" s="10">
        <f t="shared" si="2"/>
        <v>0</v>
      </c>
    </row>
    <row r="160" spans="1:40" x14ac:dyDescent="0.25">
      <c r="A160" s="6" t="str">
        <f>IF(IFERROR(VLOOKUP($C160,#REF!,2,0),$C160)="Accion",CONCATENATE(IFERROR(VLOOKUP($C160,#REF!,2,0),$C160)," - ",E160),IFERROR(VLOOKUP($C160,#REF!,2,0),$C160))</f>
        <v>Avalara Technologies Private Limited</v>
      </c>
      <c r="B160" s="9" t="s">
        <v>778</v>
      </c>
      <c r="C160" s="1" t="s">
        <v>492</v>
      </c>
      <c r="D160" s="1" t="s">
        <v>779</v>
      </c>
      <c r="E160" s="9" t="s">
        <v>62</v>
      </c>
      <c r="F160" s="9" t="s">
        <v>243</v>
      </c>
      <c r="G160" s="9" t="s">
        <v>263</v>
      </c>
      <c r="H160" s="63">
        <v>0</v>
      </c>
      <c r="I160" s="63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/>
      <c r="V160" s="1"/>
      <c r="W160" s="6"/>
      <c r="X160" s="6"/>
      <c r="Y160" s="6"/>
      <c r="Z160" s="6"/>
      <c r="AA160" s="6"/>
      <c r="AB160" s="6" t="s">
        <v>778</v>
      </c>
      <c r="AC160" s="6" t="s">
        <v>266</v>
      </c>
      <c r="AD160" s="6"/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M160" s="6" t="e">
        <f>_xlfn.XLOOKUP($C160,#REF!,#REF!,"-",0)</f>
        <v>#REF!</v>
      </c>
      <c r="AN160" s="10">
        <f t="shared" si="2"/>
        <v>0</v>
      </c>
    </row>
    <row r="161" spans="1:40" x14ac:dyDescent="0.25">
      <c r="A161" s="6" t="str">
        <f>IF(IFERROR(VLOOKUP($C161,#REF!,2,0),$C161)="Accion",CONCATENATE(IFERROR(VLOOKUP($C161,#REF!,2,0),$C161)," - ",E161),IFERROR(VLOOKUP($C161,#REF!,2,0),$C161))</f>
        <v>Avalara Technologies Private Limited</v>
      </c>
      <c r="B161" s="9" t="s">
        <v>780</v>
      </c>
      <c r="C161" s="1" t="s">
        <v>492</v>
      </c>
      <c r="D161" s="1" t="s">
        <v>781</v>
      </c>
      <c r="E161" s="9" t="s">
        <v>62</v>
      </c>
      <c r="F161" s="9" t="s">
        <v>243</v>
      </c>
      <c r="G161" s="9" t="s">
        <v>263</v>
      </c>
      <c r="H161" s="63">
        <v>0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/>
      <c r="V161" s="1"/>
      <c r="W161" s="6"/>
      <c r="X161" s="6"/>
      <c r="Y161" s="6"/>
      <c r="Z161" s="6"/>
      <c r="AA161" s="6"/>
      <c r="AB161" s="6" t="s">
        <v>780</v>
      </c>
      <c r="AC161" s="6" t="s">
        <v>266</v>
      </c>
      <c r="AD161" s="6"/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M161" s="6" t="e">
        <f>_xlfn.XLOOKUP($C161,#REF!,#REF!,"-",0)</f>
        <v>#REF!</v>
      </c>
      <c r="AN161" s="10">
        <f t="shared" si="2"/>
        <v>0</v>
      </c>
    </row>
    <row r="162" spans="1:40" x14ac:dyDescent="0.25">
      <c r="A162" s="6" t="str">
        <f>IF(IFERROR(VLOOKUP($C162,#REF!,2,0),$C162)="Accion",CONCATENATE(IFERROR(VLOOKUP($C162,#REF!,2,0),$C162)," - ",E162),IFERROR(VLOOKUP($C162,#REF!,2,0),$C162))</f>
        <v>Accion Labs US, Inc.</v>
      </c>
      <c r="B162" s="9" t="s">
        <v>782</v>
      </c>
      <c r="C162" s="1" t="s">
        <v>149</v>
      </c>
      <c r="D162" s="1" t="s">
        <v>783</v>
      </c>
      <c r="E162" s="9" t="s">
        <v>62</v>
      </c>
      <c r="F162" s="9" t="s">
        <v>241</v>
      </c>
      <c r="G162" s="9" t="s">
        <v>263</v>
      </c>
      <c r="H162" s="63">
        <v>0</v>
      </c>
      <c r="I162" s="63">
        <v>0</v>
      </c>
      <c r="J162" s="63">
        <v>0</v>
      </c>
      <c r="K162" s="63">
        <v>0</v>
      </c>
      <c r="L162" s="63">
        <v>0</v>
      </c>
      <c r="M162" s="63">
        <v>0</v>
      </c>
      <c r="N162" s="63">
        <v>0</v>
      </c>
      <c r="O162" s="63">
        <v>0</v>
      </c>
      <c r="P162" s="63">
        <v>0</v>
      </c>
      <c r="Q162" s="63">
        <v>0</v>
      </c>
      <c r="R162" s="63">
        <v>0</v>
      </c>
      <c r="S162" s="63">
        <v>0</v>
      </c>
      <c r="T162" s="63">
        <v>0</v>
      </c>
      <c r="U162" s="63"/>
      <c r="V162" s="1"/>
      <c r="W162" s="6"/>
      <c r="X162" s="6"/>
      <c r="Y162" s="6"/>
      <c r="Z162" s="6"/>
      <c r="AA162" s="6"/>
      <c r="AB162" s="6" t="s">
        <v>782</v>
      </c>
      <c r="AC162" s="6" t="s">
        <v>265</v>
      </c>
      <c r="AD162" s="6"/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M162" s="6" t="e">
        <f>_xlfn.XLOOKUP($C162,#REF!,#REF!,"-",0)</f>
        <v>#REF!</v>
      </c>
      <c r="AN162" s="10">
        <f t="shared" si="2"/>
        <v>0</v>
      </c>
    </row>
    <row r="163" spans="1:40" x14ac:dyDescent="0.25">
      <c r="A163" s="6" t="str">
        <f>IF(IFERROR(VLOOKUP($C163,#REF!,2,0),$C163)="Accion",CONCATENATE(IFERROR(VLOOKUP($C163,#REF!,2,0),$C163)," - ",E163),IFERROR(VLOOKUP($C163,#REF!,2,0),$C163))</f>
        <v>Accion Labs US, Inc.</v>
      </c>
      <c r="B163" s="9" t="s">
        <v>784</v>
      </c>
      <c r="C163" s="1" t="s">
        <v>149</v>
      </c>
      <c r="D163" s="1" t="s">
        <v>785</v>
      </c>
      <c r="E163" s="9" t="s">
        <v>62</v>
      </c>
      <c r="F163" s="9" t="s">
        <v>241</v>
      </c>
      <c r="G163" s="9" t="s">
        <v>263</v>
      </c>
      <c r="H163" s="63">
        <v>0</v>
      </c>
      <c r="I163" s="63">
        <v>0</v>
      </c>
      <c r="J163" s="63">
        <v>0</v>
      </c>
      <c r="K163" s="63">
        <v>0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  <c r="R163" s="63">
        <v>0</v>
      </c>
      <c r="S163" s="63">
        <v>0</v>
      </c>
      <c r="T163" s="63">
        <v>0</v>
      </c>
      <c r="U163" s="63"/>
      <c r="V163" s="1"/>
      <c r="W163" s="6"/>
      <c r="X163" s="6"/>
      <c r="Y163" s="6"/>
      <c r="Z163" s="6"/>
      <c r="AA163" s="6"/>
      <c r="AB163" s="6" t="s">
        <v>784</v>
      </c>
      <c r="AC163" s="6" t="s">
        <v>265</v>
      </c>
      <c r="AD163" s="6"/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M163" s="6" t="e">
        <f>_xlfn.XLOOKUP($C163,#REF!,#REF!,"-",0)</f>
        <v>#REF!</v>
      </c>
      <c r="AN163" s="10">
        <f t="shared" si="2"/>
        <v>0</v>
      </c>
    </row>
    <row r="164" spans="1:40" x14ac:dyDescent="0.25">
      <c r="A164" s="6" t="str">
        <f>IF(IFERROR(VLOOKUP($C164,#REF!,2,0),$C164)="Accion",CONCATENATE(IFERROR(VLOOKUP($C164,#REF!,2,0),$C164)," - ",E164),IFERROR(VLOOKUP($C164,#REF!,2,0),$C164))</f>
        <v>Accion Labs US, Inc.</v>
      </c>
      <c r="B164" s="9" t="s">
        <v>786</v>
      </c>
      <c r="C164" s="1" t="s">
        <v>149</v>
      </c>
      <c r="D164" s="1" t="s">
        <v>787</v>
      </c>
      <c r="E164" s="9" t="s">
        <v>66</v>
      </c>
      <c r="F164" s="9" t="s">
        <v>241</v>
      </c>
      <c r="G164" s="9" t="s">
        <v>263</v>
      </c>
      <c r="H164" s="63">
        <v>0</v>
      </c>
      <c r="I164" s="63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/>
      <c r="V164" s="1"/>
      <c r="W164" s="6"/>
      <c r="X164" s="6"/>
      <c r="Y164" s="6"/>
      <c r="Z164" s="6"/>
      <c r="AA164" s="6"/>
      <c r="AB164" s="6" t="s">
        <v>786</v>
      </c>
      <c r="AC164" s="6" t="s">
        <v>265</v>
      </c>
      <c r="AD164" s="6"/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M164" s="6" t="e">
        <f>_xlfn.XLOOKUP($C164,#REF!,#REF!,"-",0)</f>
        <v>#REF!</v>
      </c>
      <c r="AN164" s="10">
        <f t="shared" si="2"/>
        <v>0</v>
      </c>
    </row>
    <row r="165" spans="1:40" x14ac:dyDescent="0.25">
      <c r="A165" s="6" t="str">
        <f>IF(IFERROR(VLOOKUP($C165,#REF!,2,0),$C165)="Accion",CONCATENATE(IFERROR(VLOOKUP($C165,#REF!,2,0),$C165)," - ",E165),IFERROR(VLOOKUP($C165,#REF!,2,0),$C165))</f>
        <v>Avalara Technologies Private Limited</v>
      </c>
      <c r="B165" s="9" t="s">
        <v>788</v>
      </c>
      <c r="C165" s="1" t="s">
        <v>492</v>
      </c>
      <c r="D165" s="1" t="s">
        <v>789</v>
      </c>
      <c r="E165" s="9" t="s">
        <v>62</v>
      </c>
      <c r="F165" s="9" t="s">
        <v>243</v>
      </c>
      <c r="G165" s="9" t="s">
        <v>263</v>
      </c>
      <c r="H165" s="63">
        <v>0</v>
      </c>
      <c r="I165" s="63">
        <v>0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3">
        <v>0</v>
      </c>
      <c r="T165" s="63">
        <v>0</v>
      </c>
      <c r="U165" s="63"/>
      <c r="V165" s="1"/>
      <c r="W165" s="6"/>
      <c r="X165" s="6"/>
      <c r="Y165" s="6"/>
      <c r="Z165" s="6"/>
      <c r="AA165" s="6"/>
      <c r="AB165" s="6" t="s">
        <v>788</v>
      </c>
      <c r="AC165" s="6" t="s">
        <v>266</v>
      </c>
      <c r="AD165" s="6"/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M165" s="6" t="e">
        <f>_xlfn.XLOOKUP($C165,#REF!,#REF!,"-",0)</f>
        <v>#REF!</v>
      </c>
      <c r="AN165" s="10">
        <f t="shared" si="2"/>
        <v>0</v>
      </c>
    </row>
    <row r="166" spans="1:40" x14ac:dyDescent="0.25">
      <c r="A166" s="6" t="str">
        <f>IF(IFERROR(VLOOKUP($C166,#REF!,2,0),$C166)="Accion",CONCATENATE(IFERROR(VLOOKUP($C166,#REF!,2,0),$C166)," - ",E166),IFERROR(VLOOKUP($C166,#REF!,2,0),$C166))</f>
        <v>Accion Labs US, Inc.</v>
      </c>
      <c r="B166" s="9" t="s">
        <v>790</v>
      </c>
      <c r="C166" s="1" t="s">
        <v>149</v>
      </c>
      <c r="D166" s="1" t="s">
        <v>791</v>
      </c>
      <c r="E166" s="9" t="s">
        <v>62</v>
      </c>
      <c r="F166" s="9" t="s">
        <v>241</v>
      </c>
      <c r="G166" s="9" t="s">
        <v>263</v>
      </c>
      <c r="H166" s="63">
        <v>0</v>
      </c>
      <c r="I166" s="63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  <c r="Q166" s="63">
        <v>0</v>
      </c>
      <c r="R166" s="63">
        <v>0</v>
      </c>
      <c r="S166" s="63">
        <v>0</v>
      </c>
      <c r="T166" s="63">
        <v>0</v>
      </c>
      <c r="U166" s="63"/>
      <c r="V166" s="1"/>
      <c r="W166" s="6"/>
      <c r="X166" s="6"/>
      <c r="Y166" s="6"/>
      <c r="Z166" s="6"/>
      <c r="AA166" s="6"/>
      <c r="AB166" s="6" t="s">
        <v>790</v>
      </c>
      <c r="AC166" s="6" t="s">
        <v>265</v>
      </c>
      <c r="AD166" s="6"/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M166" s="6" t="e">
        <f>_xlfn.XLOOKUP($C166,#REF!,#REF!,"-",0)</f>
        <v>#REF!</v>
      </c>
      <c r="AN166" s="10">
        <f t="shared" si="2"/>
        <v>0</v>
      </c>
    </row>
    <row r="167" spans="1:40" x14ac:dyDescent="0.25">
      <c r="A167" s="6" t="str">
        <f>IF(IFERROR(VLOOKUP($C167,#REF!,2,0),$C167)="Accion",CONCATENATE(IFERROR(VLOOKUP($C167,#REF!,2,0),$C167)," - ",E167),IFERROR(VLOOKUP($C167,#REF!,2,0),$C167))</f>
        <v>Accion Labs US, Inc.</v>
      </c>
      <c r="B167" s="9" t="s">
        <v>792</v>
      </c>
      <c r="C167" s="1" t="s">
        <v>149</v>
      </c>
      <c r="D167" s="1" t="s">
        <v>793</v>
      </c>
      <c r="E167" s="9" t="s">
        <v>62</v>
      </c>
      <c r="F167" s="9" t="s">
        <v>241</v>
      </c>
      <c r="G167" s="9" t="s">
        <v>263</v>
      </c>
      <c r="H167" s="63">
        <v>0</v>
      </c>
      <c r="I167" s="63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3">
        <v>0</v>
      </c>
      <c r="T167" s="63">
        <v>0</v>
      </c>
      <c r="U167" s="63"/>
      <c r="V167" s="1"/>
      <c r="W167" s="6"/>
      <c r="X167" s="6"/>
      <c r="Y167" s="6"/>
      <c r="Z167" s="6"/>
      <c r="AA167" s="6"/>
      <c r="AB167" s="6" t="s">
        <v>792</v>
      </c>
      <c r="AC167" s="6" t="s">
        <v>265</v>
      </c>
      <c r="AD167" s="6"/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M167" s="6" t="e">
        <f>_xlfn.XLOOKUP($C167,#REF!,#REF!,"-",0)</f>
        <v>#REF!</v>
      </c>
      <c r="AN167" s="10">
        <f t="shared" si="2"/>
        <v>0</v>
      </c>
    </row>
    <row r="168" spans="1:40" x14ac:dyDescent="0.25">
      <c r="A168" s="6" t="str">
        <f>IF(IFERROR(VLOOKUP($C168,#REF!,2,0),$C168)="Accion",CONCATENATE(IFERROR(VLOOKUP($C168,#REF!,2,0),$C168)," - ",E168),IFERROR(VLOOKUP($C168,#REF!,2,0),$C168))</f>
        <v>Avalara Technologies Private Limited</v>
      </c>
      <c r="B168" s="9" t="s">
        <v>794</v>
      </c>
      <c r="C168" s="1" t="s">
        <v>492</v>
      </c>
      <c r="D168" s="1" t="s">
        <v>795</v>
      </c>
      <c r="E168" s="9" t="s">
        <v>62</v>
      </c>
      <c r="F168" s="9" t="s">
        <v>243</v>
      </c>
      <c r="G168" s="9" t="s">
        <v>263</v>
      </c>
      <c r="H168" s="63">
        <v>0</v>
      </c>
      <c r="I168" s="63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/>
      <c r="V168" s="1"/>
      <c r="W168" s="6"/>
      <c r="X168" s="6"/>
      <c r="Y168" s="6"/>
      <c r="Z168" s="6"/>
      <c r="AA168" s="6"/>
      <c r="AB168" s="6" t="s">
        <v>794</v>
      </c>
      <c r="AC168" s="6" t="s">
        <v>266</v>
      </c>
      <c r="AD168" s="6"/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M168" s="6" t="e">
        <f>_xlfn.XLOOKUP($C168,#REF!,#REF!,"-",0)</f>
        <v>#REF!</v>
      </c>
      <c r="AN168" s="10">
        <f t="shared" si="2"/>
        <v>0</v>
      </c>
    </row>
    <row r="169" spans="1:40" x14ac:dyDescent="0.25">
      <c r="A169" s="6" t="str">
        <f>IF(IFERROR(VLOOKUP($C169,#REF!,2,0),$C169)="Accion",CONCATENATE(IFERROR(VLOOKUP($C169,#REF!,2,0),$C169)," - ",E169),IFERROR(VLOOKUP($C169,#REF!,2,0),$C169))</f>
        <v>Accion Labs US, Inc.</v>
      </c>
      <c r="B169" s="9" t="s">
        <v>796</v>
      </c>
      <c r="C169" s="1" t="s">
        <v>149</v>
      </c>
      <c r="D169" s="1" t="s">
        <v>797</v>
      </c>
      <c r="E169" s="9" t="s">
        <v>62</v>
      </c>
      <c r="F169" s="9" t="s">
        <v>241</v>
      </c>
      <c r="G169" s="9" t="s">
        <v>263</v>
      </c>
      <c r="H169" s="63">
        <v>0</v>
      </c>
      <c r="I169" s="63">
        <v>0</v>
      </c>
      <c r="J169" s="63">
        <v>0</v>
      </c>
      <c r="K169" s="63">
        <v>0</v>
      </c>
      <c r="L169" s="63">
        <v>0</v>
      </c>
      <c r="M169" s="63">
        <v>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3"/>
      <c r="V169" s="1"/>
      <c r="W169" s="6"/>
      <c r="X169" s="6"/>
      <c r="Y169" s="6"/>
      <c r="Z169" s="6"/>
      <c r="AA169" s="6"/>
      <c r="AB169" s="6" t="s">
        <v>796</v>
      </c>
      <c r="AC169" s="6" t="s">
        <v>265</v>
      </c>
      <c r="AD169" s="6"/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M169" s="6" t="e">
        <f>_xlfn.XLOOKUP($C169,#REF!,#REF!,"-",0)</f>
        <v>#REF!</v>
      </c>
      <c r="AN169" s="10">
        <f t="shared" si="2"/>
        <v>0</v>
      </c>
    </row>
    <row r="170" spans="1:40" x14ac:dyDescent="0.25">
      <c r="A170" s="6" t="str">
        <f>IF(IFERROR(VLOOKUP($C170,#REF!,2,0),$C170)="Accion",CONCATENATE(IFERROR(VLOOKUP($C170,#REF!,2,0),$C170)," - ",E170),IFERROR(VLOOKUP($C170,#REF!,2,0),$C170))</f>
        <v>Accion Labs US, Inc.</v>
      </c>
      <c r="B170" s="9" t="s">
        <v>798</v>
      </c>
      <c r="C170" s="1" t="s">
        <v>149</v>
      </c>
      <c r="D170" s="1" t="s">
        <v>799</v>
      </c>
      <c r="E170" s="9" t="s">
        <v>62</v>
      </c>
      <c r="F170" s="9" t="s">
        <v>241</v>
      </c>
      <c r="G170" s="9" t="s">
        <v>263</v>
      </c>
      <c r="H170" s="63">
        <v>0</v>
      </c>
      <c r="I170" s="63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/>
      <c r="V170" s="1"/>
      <c r="W170" s="6"/>
      <c r="X170" s="6"/>
      <c r="Y170" s="6"/>
      <c r="Z170" s="6"/>
      <c r="AA170" s="6"/>
      <c r="AB170" s="6" t="s">
        <v>798</v>
      </c>
      <c r="AC170" s="6" t="s">
        <v>265</v>
      </c>
      <c r="AD170" s="6"/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M170" s="6" t="e">
        <f>_xlfn.XLOOKUP($C170,#REF!,#REF!,"-",0)</f>
        <v>#REF!</v>
      </c>
      <c r="AN170" s="10">
        <f t="shared" si="2"/>
        <v>0</v>
      </c>
    </row>
    <row r="171" spans="1:40" x14ac:dyDescent="0.25">
      <c r="A171" s="6" t="str">
        <f>IF(IFERROR(VLOOKUP($C171,#REF!,2,0),$C171)="Accion",CONCATENATE(IFERROR(VLOOKUP($C171,#REF!,2,0),$C171)," - ",E171),IFERROR(VLOOKUP($C171,#REF!,2,0),$C171))</f>
        <v>Accion Labs US, Inc.</v>
      </c>
      <c r="B171" s="9" t="s">
        <v>800</v>
      </c>
      <c r="C171" s="1" t="s">
        <v>149</v>
      </c>
      <c r="D171" s="1" t="s">
        <v>801</v>
      </c>
      <c r="E171" s="9" t="s">
        <v>62</v>
      </c>
      <c r="F171" s="9" t="s">
        <v>241</v>
      </c>
      <c r="G171" s="9" t="s">
        <v>263</v>
      </c>
      <c r="H171" s="63">
        <v>0</v>
      </c>
      <c r="I171" s="63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  <c r="Q171" s="63">
        <v>0</v>
      </c>
      <c r="R171" s="63">
        <v>0</v>
      </c>
      <c r="S171" s="63">
        <v>0</v>
      </c>
      <c r="T171" s="63">
        <v>0</v>
      </c>
      <c r="U171" s="63"/>
      <c r="V171" s="1"/>
      <c r="W171" s="6"/>
      <c r="X171" s="6"/>
      <c r="Y171" s="6"/>
      <c r="Z171" s="6"/>
      <c r="AA171" s="6"/>
      <c r="AB171" s="6" t="s">
        <v>800</v>
      </c>
      <c r="AC171" s="6" t="s">
        <v>265</v>
      </c>
      <c r="AD171" s="6"/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M171" s="6" t="e">
        <f>_xlfn.XLOOKUP($C171,#REF!,#REF!,"-",0)</f>
        <v>#REF!</v>
      </c>
      <c r="AN171" s="10">
        <f t="shared" si="2"/>
        <v>0</v>
      </c>
    </row>
    <row r="172" spans="1:40" x14ac:dyDescent="0.25">
      <c r="A172" s="6" t="str">
        <f>IF(IFERROR(VLOOKUP($C172,#REF!,2,0),$C172)="Accion",CONCATENATE(IFERROR(VLOOKUP($C172,#REF!,2,0),$C172)," - ",E172),IFERROR(VLOOKUP($C172,#REF!,2,0),$C172))</f>
        <v>Avalara Technologies Private Limited</v>
      </c>
      <c r="B172" s="9" t="s">
        <v>802</v>
      </c>
      <c r="C172" s="1" t="s">
        <v>492</v>
      </c>
      <c r="D172" s="1" t="s">
        <v>803</v>
      </c>
      <c r="E172" s="9" t="s">
        <v>62</v>
      </c>
      <c r="F172" s="9" t="s">
        <v>243</v>
      </c>
      <c r="G172" s="9" t="s">
        <v>263</v>
      </c>
      <c r="H172" s="63">
        <v>0</v>
      </c>
      <c r="I172" s="63">
        <v>0</v>
      </c>
      <c r="J172" s="63">
        <v>0</v>
      </c>
      <c r="K172" s="63">
        <v>0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/>
      <c r="V172" s="1"/>
      <c r="W172" s="6"/>
      <c r="X172" s="6"/>
      <c r="Y172" s="6"/>
      <c r="Z172" s="6"/>
      <c r="AA172" s="6"/>
      <c r="AB172" s="6" t="s">
        <v>802</v>
      </c>
      <c r="AC172" s="6" t="s">
        <v>266</v>
      </c>
      <c r="AD172" s="6"/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M172" s="6" t="e">
        <f>_xlfn.XLOOKUP($C172,#REF!,#REF!,"-",0)</f>
        <v>#REF!</v>
      </c>
      <c r="AN172" s="10">
        <f t="shared" si="2"/>
        <v>0</v>
      </c>
    </row>
    <row r="173" spans="1:40" x14ac:dyDescent="0.25">
      <c r="A173" s="6" t="str">
        <f>IF(IFERROR(VLOOKUP($C173,#REF!,2,0),$C173)="Accion",CONCATENATE(IFERROR(VLOOKUP($C173,#REF!,2,0),$C173)," - ",E173),IFERROR(VLOOKUP($C173,#REF!,2,0),$C173))</f>
        <v>Accion Labs US, Inc.</v>
      </c>
      <c r="B173" s="9" t="s">
        <v>804</v>
      </c>
      <c r="C173" s="1" t="s">
        <v>149</v>
      </c>
      <c r="D173" s="1" t="s">
        <v>805</v>
      </c>
      <c r="E173" s="9" t="s">
        <v>62</v>
      </c>
      <c r="F173" s="9" t="s">
        <v>241</v>
      </c>
      <c r="G173" s="9" t="s">
        <v>263</v>
      </c>
      <c r="H173" s="63">
        <v>0</v>
      </c>
      <c r="I173" s="63">
        <v>0</v>
      </c>
      <c r="J173" s="63">
        <v>0</v>
      </c>
      <c r="K173" s="63">
        <v>0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  <c r="R173" s="63">
        <v>0</v>
      </c>
      <c r="S173" s="63">
        <v>0</v>
      </c>
      <c r="T173" s="63">
        <v>0</v>
      </c>
      <c r="U173" s="63"/>
      <c r="V173" s="1"/>
      <c r="W173" s="6"/>
      <c r="X173" s="6"/>
      <c r="Y173" s="6"/>
      <c r="Z173" s="6"/>
      <c r="AA173" s="6"/>
      <c r="AB173" s="6" t="s">
        <v>804</v>
      </c>
      <c r="AC173" s="6" t="s">
        <v>265</v>
      </c>
      <c r="AD173" s="6"/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M173" s="6" t="e">
        <f>_xlfn.XLOOKUP($C173,#REF!,#REF!,"-",0)</f>
        <v>#REF!</v>
      </c>
      <c r="AN173" s="10">
        <f t="shared" si="2"/>
        <v>0</v>
      </c>
    </row>
    <row r="174" spans="1:40" x14ac:dyDescent="0.25">
      <c r="A174" s="6" t="str">
        <f>IF(IFERROR(VLOOKUP($C174,#REF!,2,0),$C174)="Accion",CONCATENATE(IFERROR(VLOOKUP($C174,#REF!,2,0),$C174)," - ",E174),IFERROR(VLOOKUP($C174,#REF!,2,0),$C174))</f>
        <v>Accion Labs US, Inc.</v>
      </c>
      <c r="B174" s="9" t="s">
        <v>806</v>
      </c>
      <c r="C174" s="1" t="s">
        <v>149</v>
      </c>
      <c r="D174" s="1" t="s">
        <v>807</v>
      </c>
      <c r="E174" s="9" t="s">
        <v>62</v>
      </c>
      <c r="F174" s="9" t="s">
        <v>241</v>
      </c>
      <c r="G174" s="9" t="s">
        <v>263</v>
      </c>
      <c r="H174" s="63">
        <v>0</v>
      </c>
      <c r="I174" s="63">
        <v>0</v>
      </c>
      <c r="J174" s="63">
        <v>0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0</v>
      </c>
      <c r="Q174" s="63">
        <v>0</v>
      </c>
      <c r="R174" s="63">
        <v>0</v>
      </c>
      <c r="S174" s="63">
        <v>0</v>
      </c>
      <c r="T174" s="63">
        <v>0</v>
      </c>
      <c r="U174" s="63"/>
      <c r="V174" s="1"/>
      <c r="W174" s="6"/>
      <c r="X174" s="6"/>
      <c r="Y174" s="6"/>
      <c r="Z174" s="6"/>
      <c r="AA174" s="6"/>
      <c r="AB174" s="6" t="s">
        <v>806</v>
      </c>
      <c r="AC174" s="6" t="s">
        <v>265</v>
      </c>
      <c r="AD174" s="6"/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M174" s="6" t="e">
        <f>_xlfn.XLOOKUP($C174,#REF!,#REF!,"-",0)</f>
        <v>#REF!</v>
      </c>
      <c r="AN174" s="10">
        <f t="shared" si="2"/>
        <v>0</v>
      </c>
    </row>
    <row r="175" spans="1:40" x14ac:dyDescent="0.25">
      <c r="A175" s="6" t="str">
        <f>IF(IFERROR(VLOOKUP($C175,#REF!,2,0),$C175)="Accion",CONCATENATE(IFERROR(VLOOKUP($C175,#REF!,2,0),$C175)," - ",E175),IFERROR(VLOOKUP($C175,#REF!,2,0),$C175))</f>
        <v>Accion Labs US, Inc.</v>
      </c>
      <c r="B175" s="9" t="s">
        <v>808</v>
      </c>
      <c r="C175" s="1" t="s">
        <v>149</v>
      </c>
      <c r="D175" s="1" t="s">
        <v>809</v>
      </c>
      <c r="E175" s="9" t="s">
        <v>62</v>
      </c>
      <c r="F175" s="9" t="s">
        <v>241</v>
      </c>
      <c r="G175" s="9" t="s">
        <v>263</v>
      </c>
      <c r="H175" s="63">
        <v>0</v>
      </c>
      <c r="I175" s="63">
        <v>0</v>
      </c>
      <c r="J175" s="63">
        <v>0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0</v>
      </c>
      <c r="Q175" s="63">
        <v>0</v>
      </c>
      <c r="R175" s="63">
        <v>0</v>
      </c>
      <c r="S175" s="63">
        <v>0</v>
      </c>
      <c r="T175" s="63">
        <v>0</v>
      </c>
      <c r="U175" s="63"/>
      <c r="V175" s="1"/>
      <c r="W175" s="6"/>
      <c r="X175" s="6"/>
      <c r="Y175" s="6"/>
      <c r="Z175" s="6"/>
      <c r="AA175" s="6"/>
      <c r="AB175" s="6" t="s">
        <v>808</v>
      </c>
      <c r="AC175" s="6" t="s">
        <v>265</v>
      </c>
      <c r="AD175" s="6"/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M175" s="6" t="e">
        <f>_xlfn.XLOOKUP($C175,#REF!,#REF!,"-",0)</f>
        <v>#REF!</v>
      </c>
      <c r="AN175" s="10">
        <f t="shared" si="2"/>
        <v>0</v>
      </c>
    </row>
    <row r="176" spans="1:40" x14ac:dyDescent="0.25">
      <c r="A176" s="6" t="str">
        <f>IF(IFERROR(VLOOKUP($C176,#REF!,2,0),$C176)="Accion",CONCATENATE(IFERROR(VLOOKUP($C176,#REF!,2,0),$C176)," - ",E176),IFERROR(VLOOKUP($C176,#REF!,2,0),$C176))</f>
        <v>Accion Labs US, Inc.</v>
      </c>
      <c r="B176" s="9" t="s">
        <v>810</v>
      </c>
      <c r="C176" s="1" t="s">
        <v>149</v>
      </c>
      <c r="D176" s="1" t="s">
        <v>811</v>
      </c>
      <c r="E176" s="9" t="s">
        <v>66</v>
      </c>
      <c r="F176" s="9" t="s">
        <v>241</v>
      </c>
      <c r="G176" s="9" t="s">
        <v>263</v>
      </c>
      <c r="H176" s="63">
        <v>0</v>
      </c>
      <c r="I176" s="63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/>
      <c r="V176" s="1"/>
      <c r="W176" s="6"/>
      <c r="X176" s="6"/>
      <c r="Y176" s="6"/>
      <c r="Z176" s="6"/>
      <c r="AA176" s="6"/>
      <c r="AB176" s="6" t="s">
        <v>810</v>
      </c>
      <c r="AC176" s="6" t="s">
        <v>265</v>
      </c>
      <c r="AD176" s="6"/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M176" s="6" t="e">
        <f>_xlfn.XLOOKUP($C176,#REF!,#REF!,"-",0)</f>
        <v>#REF!</v>
      </c>
      <c r="AN176" s="10">
        <f t="shared" si="2"/>
        <v>0</v>
      </c>
    </row>
    <row r="177" spans="1:40" x14ac:dyDescent="0.25">
      <c r="A177" s="6" t="str">
        <f>IF(IFERROR(VLOOKUP($C177,#REF!,2,0),$C177)="Accion",CONCATENATE(IFERROR(VLOOKUP($C177,#REF!,2,0),$C177)," - ",E177),IFERROR(VLOOKUP($C177,#REF!,2,0),$C177))</f>
        <v>Accion Labs US, Inc.</v>
      </c>
      <c r="B177" s="9" t="s">
        <v>812</v>
      </c>
      <c r="C177" s="1" t="s">
        <v>149</v>
      </c>
      <c r="D177" s="1" t="s">
        <v>813</v>
      </c>
      <c r="E177" s="9" t="s">
        <v>62</v>
      </c>
      <c r="F177" s="9" t="s">
        <v>241</v>
      </c>
      <c r="G177" s="9" t="s">
        <v>263</v>
      </c>
      <c r="H177" s="63">
        <v>0</v>
      </c>
      <c r="I177" s="63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/>
      <c r="V177" s="1"/>
      <c r="W177" s="6"/>
      <c r="X177" s="6"/>
      <c r="Y177" s="6"/>
      <c r="Z177" s="6"/>
      <c r="AA177" s="6"/>
      <c r="AB177" s="6" t="s">
        <v>812</v>
      </c>
      <c r="AC177" s="6" t="s">
        <v>265</v>
      </c>
      <c r="AD177" s="6"/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M177" s="6" t="e">
        <f>_xlfn.XLOOKUP($C177,#REF!,#REF!,"-",0)</f>
        <v>#REF!</v>
      </c>
      <c r="AN177" s="10">
        <f t="shared" si="2"/>
        <v>0</v>
      </c>
    </row>
    <row r="178" spans="1:40" x14ac:dyDescent="0.25">
      <c r="A178" s="6" t="str">
        <f>IF(IFERROR(VLOOKUP($C178,#REF!,2,0),$C178)="Accion",CONCATENATE(IFERROR(VLOOKUP($C178,#REF!,2,0),$C178)," - ",E178),IFERROR(VLOOKUP($C178,#REF!,2,0),$C178))</f>
        <v>Accion Labs US, Inc.</v>
      </c>
      <c r="B178" s="9" t="s">
        <v>814</v>
      </c>
      <c r="C178" s="1" t="s">
        <v>149</v>
      </c>
      <c r="D178" s="1" t="s">
        <v>815</v>
      </c>
      <c r="E178" s="9" t="s">
        <v>62</v>
      </c>
      <c r="F178" s="9" t="s">
        <v>241</v>
      </c>
      <c r="G178" s="9" t="s">
        <v>263</v>
      </c>
      <c r="H178" s="63">
        <v>0</v>
      </c>
      <c r="I178" s="63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/>
      <c r="V178" s="1"/>
      <c r="W178" s="6"/>
      <c r="X178" s="6"/>
      <c r="Y178" s="6"/>
      <c r="Z178" s="6"/>
      <c r="AA178" s="6"/>
      <c r="AB178" s="6" t="s">
        <v>814</v>
      </c>
      <c r="AC178" s="6" t="s">
        <v>265</v>
      </c>
      <c r="AD178" s="6"/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M178" s="6" t="e">
        <f>_xlfn.XLOOKUP($C178,#REF!,#REF!,"-",0)</f>
        <v>#REF!</v>
      </c>
      <c r="AN178" s="10">
        <f t="shared" si="2"/>
        <v>0</v>
      </c>
    </row>
    <row r="179" spans="1:40" x14ac:dyDescent="0.25">
      <c r="A179" s="6" t="str">
        <f>IF(IFERROR(VLOOKUP($C179,#REF!,2,0),$C179)="Accion",CONCATENATE(IFERROR(VLOOKUP($C179,#REF!,2,0),$C179)," - ",E179),IFERROR(VLOOKUP($C179,#REF!,2,0),$C179))</f>
        <v>Accion Labs US, Inc.</v>
      </c>
      <c r="B179" s="9" t="s">
        <v>816</v>
      </c>
      <c r="C179" s="1" t="s">
        <v>149</v>
      </c>
      <c r="D179" s="1" t="s">
        <v>817</v>
      </c>
      <c r="E179" s="9" t="s">
        <v>62</v>
      </c>
      <c r="F179" s="9" t="s">
        <v>241</v>
      </c>
      <c r="G179" s="9" t="s">
        <v>263</v>
      </c>
      <c r="H179" s="63">
        <v>0</v>
      </c>
      <c r="I179" s="63">
        <v>0</v>
      </c>
      <c r="J179" s="63">
        <v>0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0</v>
      </c>
      <c r="Q179" s="63">
        <v>0</v>
      </c>
      <c r="R179" s="63">
        <v>0</v>
      </c>
      <c r="S179" s="63">
        <v>0</v>
      </c>
      <c r="T179" s="63">
        <v>0</v>
      </c>
      <c r="U179" s="63"/>
      <c r="V179" s="1"/>
      <c r="W179" s="6"/>
      <c r="X179" s="6"/>
      <c r="Y179" s="6"/>
      <c r="Z179" s="6"/>
      <c r="AA179" s="6"/>
      <c r="AB179" s="6" t="s">
        <v>816</v>
      </c>
      <c r="AC179" s="6" t="s">
        <v>265</v>
      </c>
      <c r="AD179" s="6"/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M179" s="6" t="e">
        <f>_xlfn.XLOOKUP($C179,#REF!,#REF!,"-",0)</f>
        <v>#REF!</v>
      </c>
      <c r="AN179" s="10">
        <f t="shared" si="2"/>
        <v>0</v>
      </c>
    </row>
    <row r="180" spans="1:40" x14ac:dyDescent="0.25">
      <c r="A180" s="6" t="str">
        <f>IF(IFERROR(VLOOKUP($C180,#REF!,2,0),$C180)="Accion",CONCATENATE(IFERROR(VLOOKUP($C180,#REF!,2,0),$C180)," - ",E180),IFERROR(VLOOKUP($C180,#REF!,2,0),$C180))</f>
        <v>Accion Labs US, Inc.</v>
      </c>
      <c r="B180" s="9" t="s">
        <v>818</v>
      </c>
      <c r="C180" s="1" t="s">
        <v>149</v>
      </c>
      <c r="D180" s="1" t="s">
        <v>819</v>
      </c>
      <c r="E180" s="9" t="s">
        <v>66</v>
      </c>
      <c r="F180" s="9" t="s">
        <v>241</v>
      </c>
      <c r="G180" s="9" t="s">
        <v>263</v>
      </c>
      <c r="H180" s="63">
        <v>0</v>
      </c>
      <c r="I180" s="63">
        <v>0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3">
        <v>0</v>
      </c>
      <c r="P180" s="63">
        <v>0</v>
      </c>
      <c r="Q180" s="63">
        <v>0</v>
      </c>
      <c r="R180" s="63">
        <v>0</v>
      </c>
      <c r="S180" s="63">
        <v>0</v>
      </c>
      <c r="T180" s="63">
        <v>0</v>
      </c>
      <c r="U180" s="63"/>
      <c r="V180" s="1"/>
      <c r="W180" s="6"/>
      <c r="X180" s="6"/>
      <c r="Y180" s="6"/>
      <c r="Z180" s="6"/>
      <c r="AA180" s="6"/>
      <c r="AB180" s="6" t="s">
        <v>818</v>
      </c>
      <c r="AC180" s="6" t="s">
        <v>265</v>
      </c>
      <c r="AD180" s="6"/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M180" s="6" t="e">
        <f>_xlfn.XLOOKUP($C180,#REF!,#REF!,"-",0)</f>
        <v>#REF!</v>
      </c>
      <c r="AN180" s="10">
        <f t="shared" si="2"/>
        <v>0</v>
      </c>
    </row>
    <row r="181" spans="1:40" x14ac:dyDescent="0.25">
      <c r="A181" s="6" t="str">
        <f>IF(IFERROR(VLOOKUP($C181,#REF!,2,0),$C181)="Accion",CONCATENATE(IFERROR(VLOOKUP($C181,#REF!,2,0),$C181)," - ",E181),IFERROR(VLOOKUP($C181,#REF!,2,0),$C181))</f>
        <v>Accion Labs US, Inc.</v>
      </c>
      <c r="B181" s="9" t="s">
        <v>822</v>
      </c>
      <c r="C181" s="1" t="s">
        <v>149</v>
      </c>
      <c r="D181" s="1" t="s">
        <v>823</v>
      </c>
      <c r="E181" s="9" t="s">
        <v>66</v>
      </c>
      <c r="F181" s="9" t="s">
        <v>241</v>
      </c>
      <c r="G181" s="9" t="s">
        <v>263</v>
      </c>
      <c r="H181" s="63">
        <v>0</v>
      </c>
      <c r="I181" s="63">
        <v>0</v>
      </c>
      <c r="J181" s="63">
        <v>0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3">
        <v>0</v>
      </c>
      <c r="Q181" s="63">
        <v>0</v>
      </c>
      <c r="R181" s="63">
        <v>0</v>
      </c>
      <c r="S181" s="63">
        <v>0</v>
      </c>
      <c r="T181" s="63">
        <v>0</v>
      </c>
      <c r="U181" s="63"/>
      <c r="V181" s="1"/>
      <c r="W181" s="6"/>
      <c r="X181" s="6"/>
      <c r="Y181" s="6"/>
      <c r="Z181" s="6"/>
      <c r="AA181" s="6"/>
      <c r="AB181" s="6" t="s">
        <v>822</v>
      </c>
      <c r="AC181" s="6" t="s">
        <v>265</v>
      </c>
      <c r="AD181" s="6"/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M181" s="6" t="e">
        <f>_xlfn.XLOOKUP($C181,#REF!,#REF!,"-",0)</f>
        <v>#REF!</v>
      </c>
      <c r="AN181" s="10">
        <f t="shared" si="2"/>
        <v>0</v>
      </c>
    </row>
    <row r="182" spans="1:40" x14ac:dyDescent="0.25">
      <c r="A182" s="6" t="str">
        <f>IF(IFERROR(VLOOKUP($C182,#REF!,2,0),$C182)="Accion",CONCATENATE(IFERROR(VLOOKUP($C182,#REF!,2,0),$C182)," - ",E182),IFERROR(VLOOKUP($C182,#REF!,2,0),$C182))</f>
        <v>Avalara Technologies Private Limited</v>
      </c>
      <c r="B182" s="9" t="s">
        <v>824</v>
      </c>
      <c r="C182" s="1" t="s">
        <v>492</v>
      </c>
      <c r="D182" s="1" t="s">
        <v>825</v>
      </c>
      <c r="E182" s="9" t="s">
        <v>62</v>
      </c>
      <c r="F182" s="9" t="s">
        <v>243</v>
      </c>
      <c r="G182" s="9" t="s">
        <v>263</v>
      </c>
      <c r="H182" s="63">
        <v>0</v>
      </c>
      <c r="I182" s="63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3">
        <v>0</v>
      </c>
      <c r="Q182" s="63">
        <v>0</v>
      </c>
      <c r="R182" s="63">
        <v>0</v>
      </c>
      <c r="S182" s="63">
        <v>0</v>
      </c>
      <c r="T182" s="63">
        <v>0</v>
      </c>
      <c r="U182" s="63"/>
      <c r="V182" s="1"/>
      <c r="W182" s="6"/>
      <c r="X182" s="6"/>
      <c r="Y182" s="6"/>
      <c r="Z182" s="6"/>
      <c r="AA182" s="6"/>
      <c r="AB182" s="6" t="s">
        <v>824</v>
      </c>
      <c r="AC182" s="6" t="s">
        <v>266</v>
      </c>
      <c r="AD182" s="6"/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M182" s="6" t="e">
        <f>_xlfn.XLOOKUP($C182,#REF!,#REF!,"-",0)</f>
        <v>#REF!</v>
      </c>
      <c r="AN182" s="10">
        <f t="shared" si="2"/>
        <v>0</v>
      </c>
    </row>
    <row r="183" spans="1:40" x14ac:dyDescent="0.25">
      <c r="A183" s="6" t="str">
        <f>IF(IFERROR(VLOOKUP($C183,#REF!,2,0),$C183)="Accion",CONCATENATE(IFERROR(VLOOKUP($C183,#REF!,2,0),$C183)," - ",E183),IFERROR(VLOOKUP($C183,#REF!,2,0),$C183))</f>
        <v>Avalara Technologies Private Limited</v>
      </c>
      <c r="B183" s="9" t="s">
        <v>826</v>
      </c>
      <c r="C183" s="1" t="s">
        <v>492</v>
      </c>
      <c r="D183" s="1" t="s">
        <v>827</v>
      </c>
      <c r="E183" s="9" t="s">
        <v>62</v>
      </c>
      <c r="F183" s="9" t="s">
        <v>243</v>
      </c>
      <c r="G183" s="9" t="s">
        <v>263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/>
      <c r="V183" s="1"/>
      <c r="W183" s="6"/>
      <c r="X183" s="6"/>
      <c r="Y183" s="6"/>
      <c r="Z183" s="6"/>
      <c r="AA183" s="6"/>
      <c r="AB183" s="6" t="s">
        <v>826</v>
      </c>
      <c r="AC183" s="6" t="s">
        <v>266</v>
      </c>
      <c r="AD183" s="6"/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M183" s="6" t="e">
        <f>_xlfn.XLOOKUP($C183,#REF!,#REF!,"-",0)</f>
        <v>#REF!</v>
      </c>
      <c r="AN183" s="10">
        <f t="shared" si="2"/>
        <v>0</v>
      </c>
    </row>
    <row r="184" spans="1:40" x14ac:dyDescent="0.25">
      <c r="A184" s="6" t="str">
        <f>IF(IFERROR(VLOOKUP($C184,#REF!,2,0),$C184)="Accion",CONCATENATE(IFERROR(VLOOKUP($C184,#REF!,2,0),$C184)," - ",E184),IFERROR(VLOOKUP($C184,#REF!,2,0),$C184))</f>
        <v>Avalara Technologies Private Limited</v>
      </c>
      <c r="B184" s="9" t="s">
        <v>828</v>
      </c>
      <c r="C184" s="1" t="s">
        <v>492</v>
      </c>
      <c r="D184" s="1" t="s">
        <v>829</v>
      </c>
      <c r="E184" s="9" t="s">
        <v>62</v>
      </c>
      <c r="F184" s="9" t="s">
        <v>243</v>
      </c>
      <c r="G184" s="9" t="s">
        <v>263</v>
      </c>
      <c r="H184" s="63">
        <v>0</v>
      </c>
      <c r="I184" s="63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/>
      <c r="V184" s="1"/>
      <c r="W184" s="6"/>
      <c r="X184" s="6"/>
      <c r="Y184" s="6"/>
      <c r="Z184" s="6"/>
      <c r="AA184" s="6"/>
      <c r="AB184" s="6" t="s">
        <v>828</v>
      </c>
      <c r="AC184" s="6" t="s">
        <v>266</v>
      </c>
      <c r="AD184" s="6"/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M184" s="6" t="e">
        <f>_xlfn.XLOOKUP($C184,#REF!,#REF!,"-",0)</f>
        <v>#REF!</v>
      </c>
      <c r="AN184" s="10">
        <f t="shared" si="2"/>
        <v>0</v>
      </c>
    </row>
    <row r="185" spans="1:40" x14ac:dyDescent="0.25">
      <c r="A185" s="6" t="str">
        <f>IF(IFERROR(VLOOKUP($C185,#REF!,2,0),$C185)="Accion",CONCATENATE(IFERROR(VLOOKUP($C185,#REF!,2,0),$C185)," - ",E185),IFERROR(VLOOKUP($C185,#REF!,2,0),$C185))</f>
        <v>Avalara Technologies Private Limited</v>
      </c>
      <c r="B185" s="9" t="s">
        <v>830</v>
      </c>
      <c r="C185" s="1" t="s">
        <v>492</v>
      </c>
      <c r="D185" s="1" t="s">
        <v>831</v>
      </c>
      <c r="E185" s="9" t="s">
        <v>62</v>
      </c>
      <c r="F185" s="9" t="s">
        <v>243</v>
      </c>
      <c r="G185" s="9" t="s">
        <v>263</v>
      </c>
      <c r="H185" s="63">
        <v>0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v>0</v>
      </c>
      <c r="R185" s="63">
        <v>0</v>
      </c>
      <c r="S185" s="63">
        <v>0</v>
      </c>
      <c r="T185" s="63">
        <v>0</v>
      </c>
      <c r="U185" s="63"/>
      <c r="V185" s="1"/>
      <c r="W185" s="6"/>
      <c r="X185" s="6"/>
      <c r="Y185" s="6"/>
      <c r="Z185" s="6"/>
      <c r="AA185" s="6"/>
      <c r="AB185" s="6" t="s">
        <v>830</v>
      </c>
      <c r="AC185" s="6" t="s">
        <v>266</v>
      </c>
      <c r="AD185" s="6"/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M185" s="6" t="e">
        <f>_xlfn.XLOOKUP($C185,#REF!,#REF!,"-",0)</f>
        <v>#REF!</v>
      </c>
      <c r="AN185" s="10">
        <f t="shared" si="2"/>
        <v>0</v>
      </c>
    </row>
    <row r="186" spans="1:40" x14ac:dyDescent="0.25">
      <c r="A186" s="6" t="str">
        <f>IF(IFERROR(VLOOKUP($C186,#REF!,2,0),$C186)="Accion",CONCATENATE(IFERROR(VLOOKUP($C186,#REF!,2,0),$C186)," - ",E186),IFERROR(VLOOKUP($C186,#REF!,2,0),$C186))</f>
        <v>Accion Labs US, Inc.</v>
      </c>
      <c r="B186" s="9" t="s">
        <v>832</v>
      </c>
      <c r="C186" s="1" t="s">
        <v>149</v>
      </c>
      <c r="D186" s="1" t="s">
        <v>833</v>
      </c>
      <c r="E186" s="9" t="s">
        <v>66</v>
      </c>
      <c r="F186" s="9" t="s">
        <v>241</v>
      </c>
      <c r="G186" s="9" t="s">
        <v>263</v>
      </c>
      <c r="H186" s="63">
        <v>0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v>0</v>
      </c>
      <c r="R186" s="63">
        <v>0</v>
      </c>
      <c r="S186" s="63">
        <v>0</v>
      </c>
      <c r="T186" s="63">
        <v>0</v>
      </c>
      <c r="U186" s="63"/>
      <c r="V186" s="1"/>
      <c r="W186" s="6"/>
      <c r="X186" s="6"/>
      <c r="Y186" s="6"/>
      <c r="Z186" s="6"/>
      <c r="AA186" s="6"/>
      <c r="AB186" s="6" t="s">
        <v>832</v>
      </c>
      <c r="AC186" s="6" t="s">
        <v>265</v>
      </c>
      <c r="AD186" s="6"/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M186" s="6" t="e">
        <f>_xlfn.XLOOKUP($C186,#REF!,#REF!,"-",0)</f>
        <v>#REF!</v>
      </c>
      <c r="AN186" s="10">
        <f t="shared" si="2"/>
        <v>0</v>
      </c>
    </row>
    <row r="187" spans="1:40" x14ac:dyDescent="0.25">
      <c r="A187" s="6" t="str">
        <f>IF(IFERROR(VLOOKUP($C187,#REF!,2,0),$C187)="Accion",CONCATENATE(IFERROR(VLOOKUP($C187,#REF!,2,0),$C187)," - ",E187),IFERROR(VLOOKUP($C187,#REF!,2,0),$C187))</f>
        <v>Accion Labs US, Inc.</v>
      </c>
      <c r="B187" s="9" t="s">
        <v>834</v>
      </c>
      <c r="C187" s="1" t="s">
        <v>149</v>
      </c>
      <c r="D187" s="1" t="s">
        <v>835</v>
      </c>
      <c r="E187" s="9" t="s">
        <v>62</v>
      </c>
      <c r="F187" s="9" t="s">
        <v>241</v>
      </c>
      <c r="G187" s="9" t="s">
        <v>263</v>
      </c>
      <c r="H187" s="63"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v>0</v>
      </c>
      <c r="R187" s="63">
        <v>0</v>
      </c>
      <c r="S187" s="63">
        <v>0</v>
      </c>
      <c r="T187" s="63">
        <v>0</v>
      </c>
      <c r="U187" s="63"/>
      <c r="V187" s="1"/>
      <c r="W187" s="6"/>
      <c r="X187" s="6"/>
      <c r="Y187" s="6"/>
      <c r="Z187" s="6"/>
      <c r="AA187" s="6"/>
      <c r="AB187" s="6" t="s">
        <v>834</v>
      </c>
      <c r="AC187" s="6" t="s">
        <v>265</v>
      </c>
      <c r="AD187" s="6"/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M187" s="6" t="e">
        <f>_xlfn.XLOOKUP($C187,#REF!,#REF!,"-",0)</f>
        <v>#REF!</v>
      </c>
      <c r="AN187" s="10">
        <f t="shared" si="2"/>
        <v>0</v>
      </c>
    </row>
    <row r="188" spans="1:40" x14ac:dyDescent="0.25">
      <c r="A188" s="6" t="str">
        <f>IF(IFERROR(VLOOKUP($C188,#REF!,2,0),$C188)="Accion",CONCATENATE(IFERROR(VLOOKUP($C188,#REF!,2,0),$C188)," - ",E188),IFERROR(VLOOKUP($C188,#REF!,2,0),$C188))</f>
        <v>Accion Labs US, Inc.</v>
      </c>
      <c r="B188" s="9" t="s">
        <v>836</v>
      </c>
      <c r="C188" s="1" t="s">
        <v>149</v>
      </c>
      <c r="D188" s="1" t="s">
        <v>837</v>
      </c>
      <c r="E188" s="9" t="s">
        <v>62</v>
      </c>
      <c r="F188" s="9" t="s">
        <v>241</v>
      </c>
      <c r="G188" s="9" t="s">
        <v>263</v>
      </c>
      <c r="H188" s="63">
        <v>0</v>
      </c>
      <c r="I188" s="63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3">
        <v>0</v>
      </c>
      <c r="T188" s="63">
        <v>0</v>
      </c>
      <c r="U188" s="63"/>
      <c r="V188" s="1"/>
      <c r="W188" s="6"/>
      <c r="X188" s="6"/>
      <c r="Y188" s="6"/>
      <c r="Z188" s="6"/>
      <c r="AA188" s="6"/>
      <c r="AB188" s="6" t="s">
        <v>836</v>
      </c>
      <c r="AC188" s="6" t="s">
        <v>265</v>
      </c>
      <c r="AD188" s="6"/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M188" s="6" t="e">
        <f>_xlfn.XLOOKUP($C188,#REF!,#REF!,"-",0)</f>
        <v>#REF!</v>
      </c>
      <c r="AN188" s="10">
        <f t="shared" si="2"/>
        <v>0</v>
      </c>
    </row>
    <row r="189" spans="1:40" x14ac:dyDescent="0.25">
      <c r="A189" s="6" t="str">
        <f>IF(IFERROR(VLOOKUP($C189,#REF!,2,0),$C189)="Accion",CONCATENATE(IFERROR(VLOOKUP($C189,#REF!,2,0),$C189)," - ",E189),IFERROR(VLOOKUP($C189,#REF!,2,0),$C189))</f>
        <v>Accion Labs US, Inc.</v>
      </c>
      <c r="B189" s="9" t="s">
        <v>838</v>
      </c>
      <c r="C189" s="1" t="s">
        <v>149</v>
      </c>
      <c r="D189" s="1" t="s">
        <v>839</v>
      </c>
      <c r="E189" s="9" t="s">
        <v>62</v>
      </c>
      <c r="F189" s="9" t="s">
        <v>241</v>
      </c>
      <c r="G189" s="9" t="s">
        <v>263</v>
      </c>
      <c r="H189" s="63">
        <v>0</v>
      </c>
      <c r="I189" s="63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/>
      <c r="V189" s="1"/>
      <c r="W189" s="6"/>
      <c r="X189" s="6"/>
      <c r="Y189" s="6"/>
      <c r="Z189" s="6"/>
      <c r="AA189" s="6"/>
      <c r="AB189" s="6" t="s">
        <v>838</v>
      </c>
      <c r="AC189" s="6" t="s">
        <v>265</v>
      </c>
      <c r="AD189" s="6"/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M189" s="6" t="e">
        <f>_xlfn.XLOOKUP($C189,#REF!,#REF!,"-",0)</f>
        <v>#REF!</v>
      </c>
      <c r="AN189" s="10">
        <f t="shared" si="2"/>
        <v>0</v>
      </c>
    </row>
    <row r="190" spans="1:40" x14ac:dyDescent="0.25">
      <c r="A190" s="6" t="str">
        <f>IF(IFERROR(VLOOKUP($C190,#REF!,2,0),$C190)="Accion",CONCATENATE(IFERROR(VLOOKUP($C190,#REF!,2,0),$C190)," - ",E190),IFERROR(VLOOKUP($C190,#REF!,2,0),$C190))</f>
        <v>Accion Labs US, Inc.</v>
      </c>
      <c r="B190" s="9" t="s">
        <v>840</v>
      </c>
      <c r="C190" s="1" t="s">
        <v>149</v>
      </c>
      <c r="D190" s="1" t="s">
        <v>841</v>
      </c>
      <c r="E190" s="9" t="s">
        <v>62</v>
      </c>
      <c r="F190" s="9" t="s">
        <v>241</v>
      </c>
      <c r="G190" s="9" t="s">
        <v>263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/>
      <c r="V190" s="1"/>
      <c r="W190" s="6"/>
      <c r="X190" s="6"/>
      <c r="Y190" s="6"/>
      <c r="Z190" s="6"/>
      <c r="AA190" s="6"/>
      <c r="AB190" s="6" t="s">
        <v>840</v>
      </c>
      <c r="AC190" s="6" t="s">
        <v>265</v>
      </c>
      <c r="AD190" s="6"/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M190" s="6" t="e">
        <f>_xlfn.XLOOKUP($C190,#REF!,#REF!,"-",0)</f>
        <v>#REF!</v>
      </c>
      <c r="AN190" s="10">
        <f t="shared" si="2"/>
        <v>0</v>
      </c>
    </row>
    <row r="191" spans="1:40" x14ac:dyDescent="0.25">
      <c r="A191" s="6" t="str">
        <f>IF(IFERROR(VLOOKUP($C191,#REF!,2,0),$C191)="Accion",CONCATENATE(IFERROR(VLOOKUP($C191,#REF!,2,0),$C191)," - ",E191),IFERROR(VLOOKUP($C191,#REF!,2,0),$C191))</f>
        <v>Accion Labs US, Inc.</v>
      </c>
      <c r="B191" s="9" t="s">
        <v>842</v>
      </c>
      <c r="C191" s="1" t="s">
        <v>149</v>
      </c>
      <c r="D191" s="1" t="s">
        <v>843</v>
      </c>
      <c r="E191" s="9" t="s">
        <v>62</v>
      </c>
      <c r="F191" s="9" t="s">
        <v>241</v>
      </c>
      <c r="G191" s="9" t="s">
        <v>263</v>
      </c>
      <c r="H191" s="63">
        <v>0</v>
      </c>
      <c r="I191" s="63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  <c r="R191" s="63">
        <v>0</v>
      </c>
      <c r="S191" s="63">
        <v>0</v>
      </c>
      <c r="T191" s="63">
        <v>0</v>
      </c>
      <c r="U191" s="63"/>
      <c r="V191" s="1"/>
      <c r="W191" s="6"/>
      <c r="X191" s="6"/>
      <c r="Y191" s="6"/>
      <c r="Z191" s="6"/>
      <c r="AA191" s="6"/>
      <c r="AB191" s="6" t="s">
        <v>842</v>
      </c>
      <c r="AC191" s="6" t="s">
        <v>265</v>
      </c>
      <c r="AD191" s="6"/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M191" s="6" t="e">
        <f>_xlfn.XLOOKUP($C191,#REF!,#REF!,"-",0)</f>
        <v>#REF!</v>
      </c>
      <c r="AN191" s="10">
        <f t="shared" si="2"/>
        <v>0</v>
      </c>
    </row>
    <row r="192" spans="1:40" x14ac:dyDescent="0.25">
      <c r="A192" s="6" t="str">
        <f>IF(IFERROR(VLOOKUP($C192,#REF!,2,0),$C192)="Accion",CONCATENATE(IFERROR(VLOOKUP($C192,#REF!,2,0),$C192)," - ",E192),IFERROR(VLOOKUP($C192,#REF!,2,0),$C192))</f>
        <v>Accion Labs Canada, Inc.</v>
      </c>
      <c r="B192" s="9" t="s">
        <v>844</v>
      </c>
      <c r="C192" s="1" t="s">
        <v>156</v>
      </c>
      <c r="D192" s="1" t="s">
        <v>845</v>
      </c>
      <c r="E192" s="9" t="s">
        <v>62</v>
      </c>
      <c r="F192" s="9" t="s">
        <v>241</v>
      </c>
      <c r="G192" s="9" t="s">
        <v>263</v>
      </c>
      <c r="H192" s="63">
        <v>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0</v>
      </c>
      <c r="S192" s="63">
        <v>0</v>
      </c>
      <c r="T192" s="63">
        <v>0</v>
      </c>
      <c r="U192" s="63"/>
      <c r="V192" s="1"/>
      <c r="W192" s="6"/>
      <c r="X192" s="6"/>
      <c r="Y192" s="6"/>
      <c r="Z192" s="6"/>
      <c r="AA192" s="6"/>
      <c r="AB192" s="6" t="s">
        <v>844</v>
      </c>
      <c r="AC192" s="6" t="s">
        <v>265</v>
      </c>
      <c r="AD192" s="6"/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M192" s="6" t="e">
        <f>_xlfn.XLOOKUP($C192,#REF!,#REF!,"-",0)</f>
        <v>#REF!</v>
      </c>
      <c r="AN192" s="10">
        <f t="shared" si="2"/>
        <v>0</v>
      </c>
    </row>
    <row r="193" spans="1:40" x14ac:dyDescent="0.25">
      <c r="A193" s="6" t="str">
        <f>IF(IFERROR(VLOOKUP($C193,#REF!,2,0),$C193)="Accion",CONCATENATE(IFERROR(VLOOKUP($C193,#REF!,2,0),$C193)," - ",E193),IFERROR(VLOOKUP($C193,#REF!,2,0),$C193))</f>
        <v>Efficacious 2 LLC</v>
      </c>
      <c r="B193" s="9" t="s">
        <v>846</v>
      </c>
      <c r="C193" s="1" t="s">
        <v>410</v>
      </c>
      <c r="D193" s="1" t="s">
        <v>847</v>
      </c>
      <c r="E193" s="9" t="s">
        <v>62</v>
      </c>
      <c r="F193" s="9" t="s">
        <v>241</v>
      </c>
      <c r="G193" s="9" t="s">
        <v>263</v>
      </c>
      <c r="H193" s="63">
        <v>0</v>
      </c>
      <c r="I193" s="63">
        <v>0</v>
      </c>
      <c r="J193" s="63">
        <v>0</v>
      </c>
      <c r="K193" s="63">
        <v>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  <c r="Q193" s="63">
        <v>0</v>
      </c>
      <c r="R193" s="63">
        <v>0</v>
      </c>
      <c r="S193" s="63">
        <v>0</v>
      </c>
      <c r="T193" s="63">
        <v>0</v>
      </c>
      <c r="U193" s="63"/>
      <c r="V193" s="1"/>
      <c r="W193" s="6"/>
      <c r="X193" s="6"/>
      <c r="Y193" s="6"/>
      <c r="Z193" s="6"/>
      <c r="AA193" s="6"/>
      <c r="AB193" s="6" t="s">
        <v>846</v>
      </c>
      <c r="AC193" s="6" t="s">
        <v>265</v>
      </c>
      <c r="AD193" s="6"/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M193" s="6" t="e">
        <f>_xlfn.XLOOKUP($C193,#REF!,#REF!,"-",0)</f>
        <v>#REF!</v>
      </c>
      <c r="AN193" s="10">
        <f t="shared" si="2"/>
        <v>0</v>
      </c>
    </row>
    <row r="194" spans="1:40" x14ac:dyDescent="0.25">
      <c r="A194" s="6" t="str">
        <f>IF(IFERROR(VLOOKUP($C194,#REF!,2,0),$C194)="Accion",CONCATENATE(IFERROR(VLOOKUP($C194,#REF!,2,0),$C194)," - ",E194),IFERROR(VLOOKUP($C194,#REF!,2,0),$C194))</f>
        <v>Commercial Fleet Technologies Inc.</v>
      </c>
      <c r="B194" s="9" t="s">
        <v>848</v>
      </c>
      <c r="C194" s="1" t="s">
        <v>89</v>
      </c>
      <c r="D194" s="1" t="s">
        <v>849</v>
      </c>
      <c r="E194" s="9" t="s">
        <v>62</v>
      </c>
      <c r="F194" s="9" t="s">
        <v>241</v>
      </c>
      <c r="G194" s="9" t="s">
        <v>263</v>
      </c>
      <c r="H194" s="63">
        <v>0</v>
      </c>
      <c r="I194" s="63">
        <v>0</v>
      </c>
      <c r="J194" s="63">
        <v>0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  <c r="R194" s="63">
        <v>0</v>
      </c>
      <c r="S194" s="63">
        <v>0</v>
      </c>
      <c r="T194" s="63">
        <v>0</v>
      </c>
      <c r="U194" s="63"/>
      <c r="V194" s="1"/>
      <c r="W194" s="6"/>
      <c r="X194" s="6"/>
      <c r="Y194" s="6"/>
      <c r="Z194" s="6"/>
      <c r="AA194" s="6"/>
      <c r="AB194" s="6" t="s">
        <v>848</v>
      </c>
      <c r="AC194" s="6" t="s">
        <v>265</v>
      </c>
      <c r="AD194" s="6"/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M194" s="6" t="e">
        <f>_xlfn.XLOOKUP($C194,#REF!,#REF!,"-",0)</f>
        <v>#REF!</v>
      </c>
      <c r="AN194" s="10">
        <f t="shared" si="2"/>
        <v>0</v>
      </c>
    </row>
    <row r="195" spans="1:40" x14ac:dyDescent="0.25">
      <c r="A195" s="6" t="str">
        <f>IF(IFERROR(VLOOKUP($C195,#REF!,2,0),$C195)="Accion",CONCATENATE(IFERROR(VLOOKUP($C195,#REF!,2,0),$C195)," - ",E195),IFERROR(VLOOKUP($C195,#REF!,2,0),$C195))</f>
        <v>Medline Industries India Pvt. Ltd</v>
      </c>
      <c r="B195" s="9" t="s">
        <v>853</v>
      </c>
      <c r="C195" s="1" t="s">
        <v>109</v>
      </c>
      <c r="D195" s="1" t="s">
        <v>854</v>
      </c>
      <c r="E195" s="9" t="s">
        <v>62</v>
      </c>
      <c r="F195" s="9" t="s">
        <v>243</v>
      </c>
      <c r="G195" s="9" t="s">
        <v>263</v>
      </c>
      <c r="H195" s="63">
        <v>0</v>
      </c>
      <c r="I195" s="63">
        <v>0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  <c r="R195" s="63">
        <v>0</v>
      </c>
      <c r="S195" s="63">
        <v>0</v>
      </c>
      <c r="T195" s="63">
        <v>0</v>
      </c>
      <c r="U195" s="63"/>
      <c r="V195" s="1"/>
      <c r="W195" s="6"/>
      <c r="X195" s="6"/>
      <c r="Y195" s="6"/>
      <c r="Z195" s="6"/>
      <c r="AA195" s="6"/>
      <c r="AB195" s="6" t="s">
        <v>853</v>
      </c>
      <c r="AC195" s="6" t="s">
        <v>266</v>
      </c>
      <c r="AD195" s="6"/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M195" s="6" t="e">
        <f>_xlfn.XLOOKUP($C195,#REF!,#REF!,"-",0)</f>
        <v>#REF!</v>
      </c>
      <c r="AN195" s="10">
        <f t="shared" si="2"/>
        <v>0</v>
      </c>
    </row>
    <row r="196" spans="1:40" x14ac:dyDescent="0.25">
      <c r="A196" s="6" t="str">
        <f>IF(IFERROR(VLOOKUP($C196,#REF!,2,0),$C196)="Accion",CONCATENATE(IFERROR(VLOOKUP($C196,#REF!,2,0),$C196)," - ",E196),IFERROR(VLOOKUP($C196,#REF!,2,0),$C196))</f>
        <v>International Atomic Energy Agency</v>
      </c>
      <c r="B196" s="9" t="s">
        <v>855</v>
      </c>
      <c r="C196" s="1" t="s">
        <v>84</v>
      </c>
      <c r="D196" s="1" t="s">
        <v>856</v>
      </c>
      <c r="E196" s="9" t="s">
        <v>66</v>
      </c>
      <c r="F196" s="9" t="s">
        <v>238</v>
      </c>
      <c r="G196" s="9" t="s">
        <v>263</v>
      </c>
      <c r="H196" s="63">
        <v>0</v>
      </c>
      <c r="I196" s="63">
        <v>0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/>
      <c r="V196" s="1"/>
      <c r="W196" s="6"/>
      <c r="X196" s="6"/>
      <c r="Y196" s="6"/>
      <c r="Z196" s="6"/>
      <c r="AA196" s="6"/>
      <c r="AB196" s="6" t="s">
        <v>855</v>
      </c>
      <c r="AC196" s="6" t="s">
        <v>264</v>
      </c>
      <c r="AD196" s="6"/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M196" s="6" t="e">
        <f>_xlfn.XLOOKUP($C196,#REF!,#REF!,"-",0)</f>
        <v>#REF!</v>
      </c>
      <c r="AN196" s="10">
        <f t="shared" si="2"/>
        <v>0</v>
      </c>
    </row>
    <row r="197" spans="1:40" x14ac:dyDescent="0.25">
      <c r="A197" s="6" t="str">
        <f>IF(IFERROR(VLOOKUP($C197,#REF!,2,0),$C197)="Accion",CONCATENATE(IFERROR(VLOOKUP($C197,#REF!,2,0),$C197)," - ",E197),IFERROR(VLOOKUP($C197,#REF!,2,0),$C197))</f>
        <v>International Atomic Energy Agency</v>
      </c>
      <c r="B197" s="9" t="s">
        <v>857</v>
      </c>
      <c r="C197" s="1" t="s">
        <v>84</v>
      </c>
      <c r="D197" s="1" t="s">
        <v>858</v>
      </c>
      <c r="E197" s="9" t="s">
        <v>66</v>
      </c>
      <c r="F197" s="9" t="s">
        <v>238</v>
      </c>
      <c r="G197" s="9" t="s">
        <v>263</v>
      </c>
      <c r="H197" s="63">
        <v>0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0</v>
      </c>
      <c r="S197" s="63">
        <v>0</v>
      </c>
      <c r="T197" s="63">
        <v>0</v>
      </c>
      <c r="U197" s="63"/>
      <c r="V197" s="1"/>
      <c r="W197" s="6"/>
      <c r="X197" s="6"/>
      <c r="Y197" s="6"/>
      <c r="Z197" s="6"/>
      <c r="AA197" s="6"/>
      <c r="AB197" s="6" t="s">
        <v>857</v>
      </c>
      <c r="AC197" s="6" t="s">
        <v>264</v>
      </c>
      <c r="AD197" s="6"/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M197" s="6" t="e">
        <f>_xlfn.XLOOKUP($C197,#REF!,#REF!,"-",0)</f>
        <v>#REF!</v>
      </c>
      <c r="AN197" s="10">
        <f t="shared" si="2"/>
        <v>0</v>
      </c>
    </row>
    <row r="198" spans="1:40" x14ac:dyDescent="0.25">
      <c r="A198" s="6" t="str">
        <f>IF(IFERROR(VLOOKUP($C198,#REF!,2,0),$C198)="Accion",CONCATENATE(IFERROR(VLOOKUP($C198,#REF!,2,0),$C198)," - ",E198),IFERROR(VLOOKUP($C198,#REF!,2,0),$C198))</f>
        <v>International Atomic Energy Agency</v>
      </c>
      <c r="B198" s="9" t="s">
        <v>861</v>
      </c>
      <c r="C198" s="1" t="s">
        <v>84</v>
      </c>
      <c r="D198" s="1" t="s">
        <v>862</v>
      </c>
      <c r="E198" s="9" t="s">
        <v>66</v>
      </c>
      <c r="F198" s="9" t="s">
        <v>238</v>
      </c>
      <c r="G198" s="9" t="s">
        <v>263</v>
      </c>
      <c r="H198" s="63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  <c r="R198" s="63">
        <v>0</v>
      </c>
      <c r="S198" s="63">
        <v>0</v>
      </c>
      <c r="T198" s="63">
        <v>0</v>
      </c>
      <c r="U198" s="63"/>
      <c r="V198" s="1"/>
      <c r="W198" s="6"/>
      <c r="X198" s="6"/>
      <c r="Y198" s="6"/>
      <c r="Z198" s="6"/>
      <c r="AA198" s="6"/>
      <c r="AB198" s="6" t="s">
        <v>861</v>
      </c>
      <c r="AC198" s="6" t="s">
        <v>264</v>
      </c>
      <c r="AD198" s="6"/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M198" s="6" t="e">
        <f>_xlfn.XLOOKUP($C198,#REF!,#REF!,"-",0)</f>
        <v>#REF!</v>
      </c>
      <c r="AN198" s="10">
        <f t="shared" si="2"/>
        <v>0</v>
      </c>
    </row>
    <row r="199" spans="1:40" x14ac:dyDescent="0.25">
      <c r="A199" s="6" t="str">
        <f>IF(IFERROR(VLOOKUP($C199,#REF!,2,0),$C199)="Accion",CONCATENATE(IFERROR(VLOOKUP($C199,#REF!,2,0),$C199)," - ",E199),IFERROR(VLOOKUP($C199,#REF!,2,0),$C199))</f>
        <v>Emerson Information Technology Solutions</v>
      </c>
      <c r="B199" s="9" t="s">
        <v>863</v>
      </c>
      <c r="C199" s="1" t="s">
        <v>169</v>
      </c>
      <c r="D199" s="1" t="s">
        <v>37</v>
      </c>
      <c r="E199" s="9" t="s">
        <v>62</v>
      </c>
      <c r="F199" s="9" t="s">
        <v>243</v>
      </c>
      <c r="G199" s="9" t="s">
        <v>263</v>
      </c>
      <c r="H199" s="63">
        <v>0</v>
      </c>
      <c r="I199" s="63">
        <v>0</v>
      </c>
      <c r="J199" s="63">
        <v>0</v>
      </c>
      <c r="K199" s="63">
        <v>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  <c r="R199" s="63">
        <v>0</v>
      </c>
      <c r="S199" s="63">
        <v>0</v>
      </c>
      <c r="T199" s="63">
        <v>0</v>
      </c>
      <c r="U199" s="63"/>
      <c r="V199" s="1"/>
      <c r="W199" s="6"/>
      <c r="X199" s="6"/>
      <c r="Y199" s="6"/>
      <c r="Z199" s="6"/>
      <c r="AA199" s="6"/>
      <c r="AB199" s="6" t="s">
        <v>863</v>
      </c>
      <c r="AC199" s="6" t="s">
        <v>266</v>
      </c>
      <c r="AD199" s="6"/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M199" s="6" t="e">
        <f>_xlfn.XLOOKUP($C199,#REF!,#REF!,"-",0)</f>
        <v>#REF!</v>
      </c>
      <c r="AN199" s="10">
        <f t="shared" si="2"/>
        <v>0</v>
      </c>
    </row>
    <row r="200" spans="1:40" x14ac:dyDescent="0.25">
      <c r="A200" s="6" t="str">
        <f>IF(IFERROR(VLOOKUP($C200,#REF!,2,0),$C200)="Accion",CONCATENATE(IFERROR(VLOOKUP($C200,#REF!,2,0),$C200)," - ",E200),IFERROR(VLOOKUP($C200,#REF!,2,0),$C200))</f>
        <v>WWT India Private Limited</v>
      </c>
      <c r="B200" s="9" t="s">
        <v>864</v>
      </c>
      <c r="C200" s="1" t="s">
        <v>75</v>
      </c>
      <c r="D200" s="1" t="s">
        <v>865</v>
      </c>
      <c r="E200" s="9" t="s">
        <v>62</v>
      </c>
      <c r="F200" s="9" t="s">
        <v>243</v>
      </c>
      <c r="G200" s="9" t="s">
        <v>263</v>
      </c>
      <c r="H200" s="63">
        <v>0</v>
      </c>
      <c r="I200" s="63">
        <v>0</v>
      </c>
      <c r="J200" s="63">
        <v>0</v>
      </c>
      <c r="K200" s="63">
        <v>0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3">
        <v>0</v>
      </c>
      <c r="T200" s="63">
        <v>0</v>
      </c>
      <c r="U200" s="63"/>
      <c r="V200" s="1"/>
      <c r="W200" s="6"/>
      <c r="X200" s="6"/>
      <c r="Y200" s="6"/>
      <c r="Z200" s="6"/>
      <c r="AA200" s="6"/>
      <c r="AB200" s="6" t="s">
        <v>864</v>
      </c>
      <c r="AC200" s="6" t="s">
        <v>266</v>
      </c>
      <c r="AD200" s="6"/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M200" s="6" t="e">
        <f>_xlfn.XLOOKUP($C200,#REF!,#REF!,"-",0)</f>
        <v>#REF!</v>
      </c>
      <c r="AN200" s="10">
        <f t="shared" si="2"/>
        <v>0</v>
      </c>
    </row>
    <row r="201" spans="1:40" x14ac:dyDescent="0.25">
      <c r="A201" s="6" t="str">
        <f>IF(IFERROR(VLOOKUP($C201,#REF!,2,0),$C201)="Accion",CONCATENATE(IFERROR(VLOOKUP($C201,#REF!,2,0),$C201)," - ",E201),IFERROR(VLOOKUP($C201,#REF!,2,0),$C201))</f>
        <v>Emerson Export Engineering Centre</v>
      </c>
      <c r="B201" s="9" t="s">
        <v>866</v>
      </c>
      <c r="C201" s="1" t="s">
        <v>168</v>
      </c>
      <c r="D201" s="1" t="s">
        <v>525</v>
      </c>
      <c r="E201" s="9" t="s">
        <v>62</v>
      </c>
      <c r="F201" s="9" t="s">
        <v>243</v>
      </c>
      <c r="G201" s="9" t="s">
        <v>263</v>
      </c>
      <c r="H201" s="63">
        <v>0</v>
      </c>
      <c r="I201" s="63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v>0</v>
      </c>
      <c r="R201" s="63">
        <v>0</v>
      </c>
      <c r="S201" s="63">
        <v>0</v>
      </c>
      <c r="T201" s="63">
        <v>0</v>
      </c>
      <c r="U201" s="63"/>
      <c r="V201" s="1"/>
      <c r="W201" s="6"/>
      <c r="X201" s="6"/>
      <c r="Y201" s="6"/>
      <c r="Z201" s="6"/>
      <c r="AA201" s="6"/>
      <c r="AB201" s="6" t="s">
        <v>866</v>
      </c>
      <c r="AC201" s="6" t="s">
        <v>266</v>
      </c>
      <c r="AD201" s="6"/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M201" s="6" t="e">
        <f>_xlfn.XLOOKUP($C201,#REF!,#REF!,"-",0)</f>
        <v>#REF!</v>
      </c>
      <c r="AN201" s="10">
        <f t="shared" si="2"/>
        <v>0</v>
      </c>
    </row>
    <row r="202" spans="1:40" x14ac:dyDescent="0.25">
      <c r="A202" s="6" t="str">
        <f>IF(IFERROR(VLOOKUP($C202,#REF!,2,0),$C202)="Accion",CONCATENATE(IFERROR(VLOOKUP($C202,#REF!,2,0),$C202)," - ",E202),IFERROR(VLOOKUP($C202,#REF!,2,0),$C202))</f>
        <v>WWT India Private Limited</v>
      </c>
      <c r="B202" s="9" t="s">
        <v>867</v>
      </c>
      <c r="C202" s="1" t="s">
        <v>75</v>
      </c>
      <c r="D202" s="1" t="s">
        <v>868</v>
      </c>
      <c r="E202" s="9" t="s">
        <v>62</v>
      </c>
      <c r="F202" s="9" t="s">
        <v>243</v>
      </c>
      <c r="G202" s="9" t="s">
        <v>263</v>
      </c>
      <c r="H202" s="63">
        <v>0</v>
      </c>
      <c r="I202" s="63">
        <v>0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/>
      <c r="V202" s="1"/>
      <c r="W202" s="6"/>
      <c r="X202" s="6"/>
      <c r="Y202" s="6"/>
      <c r="Z202" s="6"/>
      <c r="AA202" s="6"/>
      <c r="AB202" s="6" t="s">
        <v>867</v>
      </c>
      <c r="AC202" s="6" t="s">
        <v>266</v>
      </c>
      <c r="AD202" s="6"/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M202" s="6" t="e">
        <f>_xlfn.XLOOKUP($C202,#REF!,#REF!,"-",0)</f>
        <v>#REF!</v>
      </c>
      <c r="AN202" s="10">
        <f t="shared" si="2"/>
        <v>0</v>
      </c>
    </row>
    <row r="203" spans="1:40" x14ac:dyDescent="0.25">
      <c r="A203" s="6" t="str">
        <f>IF(IFERROR(VLOOKUP($C203,#REF!,2,0),$C203)="Accion",CONCATENATE(IFERROR(VLOOKUP($C203,#REF!,2,0),$C203)," - ",E203),IFERROR(VLOOKUP($C203,#REF!,2,0),$C203))</f>
        <v>Bayer Science And Innovation Private Limited</v>
      </c>
      <c r="B203" s="9" t="s">
        <v>871</v>
      </c>
      <c r="C203" s="1" t="s">
        <v>162</v>
      </c>
      <c r="D203" s="1" t="s">
        <v>58</v>
      </c>
      <c r="E203" s="9" t="s">
        <v>62</v>
      </c>
      <c r="F203" s="9" t="s">
        <v>243</v>
      </c>
      <c r="G203" s="9" t="s">
        <v>263</v>
      </c>
      <c r="H203" s="63">
        <v>0</v>
      </c>
      <c r="I203" s="63">
        <v>0</v>
      </c>
      <c r="J203" s="63">
        <v>0</v>
      </c>
      <c r="K203" s="63">
        <v>0</v>
      </c>
      <c r="L203" s="63">
        <v>0</v>
      </c>
      <c r="M203" s="63">
        <v>0</v>
      </c>
      <c r="N203" s="63">
        <v>0</v>
      </c>
      <c r="O203" s="63">
        <v>0</v>
      </c>
      <c r="P203" s="63">
        <v>0</v>
      </c>
      <c r="Q203" s="63">
        <v>0</v>
      </c>
      <c r="R203" s="63">
        <v>0</v>
      </c>
      <c r="S203" s="63">
        <v>0</v>
      </c>
      <c r="T203" s="63">
        <v>0</v>
      </c>
      <c r="U203" s="63"/>
      <c r="V203" s="1"/>
      <c r="W203" s="6"/>
      <c r="X203" s="6"/>
      <c r="Y203" s="6"/>
      <c r="Z203" s="6"/>
      <c r="AA203" s="6"/>
      <c r="AB203" s="6" t="s">
        <v>871</v>
      </c>
      <c r="AC203" s="6" t="s">
        <v>266</v>
      </c>
      <c r="AD203" s="6"/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M203" s="6" t="e">
        <f>_xlfn.XLOOKUP($C203,#REF!,#REF!,"-",0)</f>
        <v>#REF!</v>
      </c>
      <c r="AN203" s="10">
        <f t="shared" ref="AN203:AN266" si="3">IF(H203&gt;0,1,IF(H203&lt;0,-1,0))</f>
        <v>0</v>
      </c>
    </row>
    <row r="204" spans="1:40" x14ac:dyDescent="0.25">
      <c r="A204" s="6" t="str">
        <f>IF(IFERROR(VLOOKUP($C204,#REF!,2,0),$C204)="Accion",CONCATENATE(IFERROR(VLOOKUP($C204,#REF!,2,0),$C204)," - ",E204),IFERROR(VLOOKUP($C204,#REF!,2,0),$C204))</f>
        <v>Bayer Science And Innovation Private Limited</v>
      </c>
      <c r="B204" s="9" t="s">
        <v>872</v>
      </c>
      <c r="C204" s="1" t="s">
        <v>162</v>
      </c>
      <c r="D204" s="1" t="s">
        <v>452</v>
      </c>
      <c r="E204" s="9" t="s">
        <v>62</v>
      </c>
      <c r="F204" s="9" t="s">
        <v>243</v>
      </c>
      <c r="G204" s="9" t="s">
        <v>263</v>
      </c>
      <c r="H204" s="63">
        <v>0</v>
      </c>
      <c r="I204" s="63">
        <v>0</v>
      </c>
      <c r="J204" s="63">
        <v>0</v>
      </c>
      <c r="K204" s="63">
        <v>0</v>
      </c>
      <c r="L204" s="63">
        <v>0</v>
      </c>
      <c r="M204" s="63">
        <v>0</v>
      </c>
      <c r="N204" s="63">
        <v>0</v>
      </c>
      <c r="O204" s="63">
        <v>0</v>
      </c>
      <c r="P204" s="63">
        <v>0</v>
      </c>
      <c r="Q204" s="63">
        <v>0</v>
      </c>
      <c r="R204" s="63">
        <v>0</v>
      </c>
      <c r="S204" s="63">
        <v>0</v>
      </c>
      <c r="T204" s="63">
        <v>0</v>
      </c>
      <c r="U204" s="63"/>
      <c r="V204" s="1"/>
      <c r="W204" s="6"/>
      <c r="X204" s="6"/>
      <c r="Y204" s="6"/>
      <c r="Z204" s="6"/>
      <c r="AA204" s="6"/>
      <c r="AB204" s="6" t="s">
        <v>872</v>
      </c>
      <c r="AC204" s="6" t="s">
        <v>266</v>
      </c>
      <c r="AD204" s="6"/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M204" s="6" t="e">
        <f>_xlfn.XLOOKUP($C204,#REF!,#REF!,"-",0)</f>
        <v>#REF!</v>
      </c>
      <c r="AN204" s="10">
        <f t="shared" si="3"/>
        <v>0</v>
      </c>
    </row>
    <row r="205" spans="1:40" x14ac:dyDescent="0.25">
      <c r="A205" s="6" t="str">
        <f>IF(IFERROR(VLOOKUP($C205,#REF!,2,0),$C205)="Accion",CONCATENATE(IFERROR(VLOOKUP($C205,#REF!,2,0),$C205)," - ",E205),IFERROR(VLOOKUP($C205,#REF!,2,0),$C205))</f>
        <v>Bayer Science And Innovation Private Limited</v>
      </c>
      <c r="B205" s="9" t="s">
        <v>873</v>
      </c>
      <c r="C205" s="1" t="s">
        <v>162</v>
      </c>
      <c r="D205" s="1" t="s">
        <v>485</v>
      </c>
      <c r="E205" s="9" t="s">
        <v>62</v>
      </c>
      <c r="F205" s="9" t="s">
        <v>243</v>
      </c>
      <c r="G205" s="9" t="s">
        <v>263</v>
      </c>
      <c r="H205" s="63">
        <v>0</v>
      </c>
      <c r="I205" s="63">
        <v>0</v>
      </c>
      <c r="J205" s="63">
        <v>0</v>
      </c>
      <c r="K205" s="63">
        <v>0</v>
      </c>
      <c r="L205" s="63">
        <v>0</v>
      </c>
      <c r="M205" s="63">
        <v>0</v>
      </c>
      <c r="N205" s="63">
        <v>0</v>
      </c>
      <c r="O205" s="63">
        <v>0</v>
      </c>
      <c r="P205" s="63">
        <v>0</v>
      </c>
      <c r="Q205" s="63">
        <v>0</v>
      </c>
      <c r="R205" s="63">
        <v>0</v>
      </c>
      <c r="S205" s="63">
        <v>0</v>
      </c>
      <c r="T205" s="63">
        <v>0</v>
      </c>
      <c r="U205" s="63"/>
      <c r="V205" s="1"/>
      <c r="W205" s="6"/>
      <c r="X205" s="6"/>
      <c r="Y205" s="6"/>
      <c r="Z205" s="6"/>
      <c r="AA205" s="6"/>
      <c r="AB205" s="6" t="s">
        <v>873</v>
      </c>
      <c r="AC205" s="6" t="s">
        <v>266</v>
      </c>
      <c r="AD205" s="6"/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M205" s="6" t="e">
        <f>_xlfn.XLOOKUP($C205,#REF!,#REF!,"-",0)</f>
        <v>#REF!</v>
      </c>
      <c r="AN205" s="10">
        <f t="shared" si="3"/>
        <v>0</v>
      </c>
    </row>
    <row r="206" spans="1:40" x14ac:dyDescent="0.25">
      <c r="A206" s="6" t="str">
        <f>IF(IFERROR(VLOOKUP($C206,#REF!,2,0),$C206)="Accion",CONCATENATE(IFERROR(VLOOKUP($C206,#REF!,2,0),$C206)," - ",E206),IFERROR(VLOOKUP($C206,#REF!,2,0),$C206))</f>
        <v>WWT India Private Limited</v>
      </c>
      <c r="B206" s="9" t="s">
        <v>874</v>
      </c>
      <c r="C206" s="1" t="s">
        <v>75</v>
      </c>
      <c r="D206" s="1" t="s">
        <v>875</v>
      </c>
      <c r="E206" s="9" t="s">
        <v>62</v>
      </c>
      <c r="F206" s="9" t="s">
        <v>243</v>
      </c>
      <c r="G206" s="9" t="s">
        <v>263</v>
      </c>
      <c r="H206" s="63">
        <v>0</v>
      </c>
      <c r="I206" s="63">
        <v>0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3">
        <v>0</v>
      </c>
      <c r="T206" s="63">
        <v>0</v>
      </c>
      <c r="U206" s="63"/>
      <c r="V206" s="1"/>
      <c r="W206" s="6"/>
      <c r="X206" s="6"/>
      <c r="Y206" s="6"/>
      <c r="Z206" s="6"/>
      <c r="AA206" s="6"/>
      <c r="AB206" s="6" t="s">
        <v>874</v>
      </c>
      <c r="AC206" s="6" t="s">
        <v>266</v>
      </c>
      <c r="AD206" s="6"/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M206" s="6" t="e">
        <f>_xlfn.XLOOKUP($C206,#REF!,#REF!,"-",0)</f>
        <v>#REF!</v>
      </c>
      <c r="AN206" s="10">
        <f t="shared" si="3"/>
        <v>0</v>
      </c>
    </row>
    <row r="207" spans="1:40" x14ac:dyDescent="0.25">
      <c r="A207" s="6" t="str">
        <f>IF(IFERROR(VLOOKUP($C207,#REF!,2,0),$C207)="Accion",CONCATENATE(IFERROR(VLOOKUP($C207,#REF!,2,0),$C207)," - ",E207),IFERROR(VLOOKUP($C207,#REF!,2,0),$C207))</f>
        <v>BAYER CROPSCIENCE LIMITED</v>
      </c>
      <c r="B207" s="9" t="s">
        <v>876</v>
      </c>
      <c r="C207" s="1" t="s">
        <v>435</v>
      </c>
      <c r="D207" s="1" t="s">
        <v>408</v>
      </c>
      <c r="E207" s="9" t="s">
        <v>62</v>
      </c>
      <c r="F207" s="9" t="s">
        <v>243</v>
      </c>
      <c r="G207" s="9" t="s">
        <v>263</v>
      </c>
      <c r="H207" s="63">
        <v>0</v>
      </c>
      <c r="I207" s="63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/>
      <c r="V207" s="1"/>
      <c r="W207" s="6"/>
      <c r="X207" s="6"/>
      <c r="Y207" s="6"/>
      <c r="Z207" s="6"/>
      <c r="AA207" s="6"/>
      <c r="AB207" s="6" t="s">
        <v>876</v>
      </c>
      <c r="AC207" s="6" t="s">
        <v>266</v>
      </c>
      <c r="AD207" s="6"/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M207" s="6" t="e">
        <f>_xlfn.XLOOKUP($C207,#REF!,#REF!,"-",0)</f>
        <v>#REF!</v>
      </c>
      <c r="AN207" s="10">
        <f t="shared" si="3"/>
        <v>0</v>
      </c>
    </row>
    <row r="208" spans="1:40" x14ac:dyDescent="0.25">
      <c r="A208" s="6" t="str">
        <f>IF(IFERROR(VLOOKUP($C208,#REF!,2,0),$C208)="Accion",CONCATENATE(IFERROR(VLOOKUP($C208,#REF!,2,0),$C208)," - ",E208),IFERROR(VLOOKUP($C208,#REF!,2,0),$C208))</f>
        <v>WWT India Private Limited</v>
      </c>
      <c r="B208" s="9" t="s">
        <v>877</v>
      </c>
      <c r="C208" s="1" t="s">
        <v>75</v>
      </c>
      <c r="D208" s="1" t="s">
        <v>878</v>
      </c>
      <c r="E208" s="9" t="s">
        <v>62</v>
      </c>
      <c r="F208" s="9" t="s">
        <v>243</v>
      </c>
      <c r="G208" s="9" t="s">
        <v>263</v>
      </c>
      <c r="H208" s="63">
        <v>0</v>
      </c>
      <c r="I208" s="63">
        <v>0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  <c r="Q208" s="63">
        <v>0</v>
      </c>
      <c r="R208" s="63">
        <v>0</v>
      </c>
      <c r="S208" s="63">
        <v>0</v>
      </c>
      <c r="T208" s="63">
        <v>0</v>
      </c>
      <c r="U208" s="63"/>
      <c r="V208" s="1"/>
      <c r="W208" s="6"/>
      <c r="X208" s="6"/>
      <c r="Y208" s="6"/>
      <c r="Z208" s="6"/>
      <c r="AA208" s="6"/>
      <c r="AB208" s="6" t="s">
        <v>877</v>
      </c>
      <c r="AC208" s="6" t="s">
        <v>266</v>
      </c>
      <c r="AD208" s="6"/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M208" s="6" t="e">
        <f>_xlfn.XLOOKUP($C208,#REF!,#REF!,"-",0)</f>
        <v>#REF!</v>
      </c>
      <c r="AN208" s="10">
        <f t="shared" si="3"/>
        <v>0</v>
      </c>
    </row>
    <row r="209" spans="1:40" x14ac:dyDescent="0.25">
      <c r="A209" s="6" t="str">
        <f>IF(IFERROR(VLOOKUP($C209,#REF!,2,0),$C209)="Accion",CONCATENATE(IFERROR(VLOOKUP($C209,#REF!,2,0),$C209)," - ",E209),IFERROR(VLOOKUP($C209,#REF!,2,0),$C209))</f>
        <v>Avalara Technologies Private Limited</v>
      </c>
      <c r="B209" s="9" t="s">
        <v>879</v>
      </c>
      <c r="C209" s="1" t="s">
        <v>492</v>
      </c>
      <c r="D209" s="1" t="s">
        <v>880</v>
      </c>
      <c r="E209" s="9" t="s">
        <v>62</v>
      </c>
      <c r="F209" s="9" t="s">
        <v>243</v>
      </c>
      <c r="G209" s="9" t="s">
        <v>263</v>
      </c>
      <c r="H209" s="63">
        <v>0</v>
      </c>
      <c r="I209" s="63">
        <v>0</v>
      </c>
      <c r="J209" s="63">
        <v>0</v>
      </c>
      <c r="K209" s="63">
        <v>0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v>0</v>
      </c>
      <c r="R209" s="63">
        <v>0</v>
      </c>
      <c r="S209" s="63">
        <v>0</v>
      </c>
      <c r="T209" s="63">
        <v>0</v>
      </c>
      <c r="U209" s="63"/>
      <c r="V209" s="1"/>
      <c r="W209" s="6"/>
      <c r="X209" s="6"/>
      <c r="Y209" s="6"/>
      <c r="Z209" s="6"/>
      <c r="AA209" s="6"/>
      <c r="AB209" s="6" t="s">
        <v>879</v>
      </c>
      <c r="AC209" s="6" t="s">
        <v>266</v>
      </c>
      <c r="AD209" s="6"/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M209" s="6" t="e">
        <f>_xlfn.XLOOKUP($C209,#REF!,#REF!,"-",0)</f>
        <v>#REF!</v>
      </c>
      <c r="AN209" s="10">
        <f t="shared" si="3"/>
        <v>0</v>
      </c>
    </row>
    <row r="210" spans="1:40" x14ac:dyDescent="0.25">
      <c r="A210" s="6" t="str">
        <f>IF(IFERROR(VLOOKUP($C210,#REF!,2,0),$C210)="Accion",CONCATENATE(IFERROR(VLOOKUP($C210,#REF!,2,0),$C210)," - ",E210),IFERROR(VLOOKUP($C210,#REF!,2,0),$C210))</f>
        <v>Emerson Export Engineering Centre</v>
      </c>
      <c r="B210" s="9" t="s">
        <v>881</v>
      </c>
      <c r="C210" s="1" t="s">
        <v>168</v>
      </c>
      <c r="D210" s="1" t="s">
        <v>882</v>
      </c>
      <c r="E210" s="9" t="s">
        <v>62</v>
      </c>
      <c r="F210" s="9" t="s">
        <v>243</v>
      </c>
      <c r="G210" s="9" t="s">
        <v>263</v>
      </c>
      <c r="H210" s="63">
        <v>0</v>
      </c>
      <c r="I210" s="63">
        <v>0</v>
      </c>
      <c r="J210" s="63">
        <v>0</v>
      </c>
      <c r="K210" s="63">
        <v>0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3">
        <v>0</v>
      </c>
      <c r="T210" s="63">
        <v>0</v>
      </c>
      <c r="U210" s="63"/>
      <c r="V210" s="1"/>
      <c r="W210" s="6"/>
      <c r="X210" s="6"/>
      <c r="Y210" s="6"/>
      <c r="Z210" s="6"/>
      <c r="AA210" s="6"/>
      <c r="AB210" s="6" t="s">
        <v>881</v>
      </c>
      <c r="AC210" s="6" t="s">
        <v>266</v>
      </c>
      <c r="AD210" s="6"/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M210" s="6" t="e">
        <f>_xlfn.XLOOKUP($C210,#REF!,#REF!,"-",0)</f>
        <v>#REF!</v>
      </c>
      <c r="AN210" s="10">
        <f t="shared" si="3"/>
        <v>0</v>
      </c>
    </row>
    <row r="211" spans="1:40" x14ac:dyDescent="0.25">
      <c r="A211" s="6" t="str">
        <f>IF(IFERROR(VLOOKUP($C211,#REF!,2,0),$C211)="Accion",CONCATENATE(IFERROR(VLOOKUP($C211,#REF!,2,0),$C211)," - ",E211),IFERROR(VLOOKUP($C211,#REF!,2,0),$C211))</f>
        <v>Emerson Export Engineering Centre</v>
      </c>
      <c r="B211" s="9" t="s">
        <v>883</v>
      </c>
      <c r="C211" s="1" t="s">
        <v>168</v>
      </c>
      <c r="D211" s="1" t="s">
        <v>884</v>
      </c>
      <c r="E211" s="9" t="s">
        <v>62</v>
      </c>
      <c r="F211" s="9" t="s">
        <v>243</v>
      </c>
      <c r="G211" s="9" t="s">
        <v>263</v>
      </c>
      <c r="H211" s="63">
        <v>0</v>
      </c>
      <c r="I211" s="63">
        <v>0</v>
      </c>
      <c r="J211" s="63">
        <v>0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  <c r="R211" s="63">
        <v>0</v>
      </c>
      <c r="S211" s="63">
        <v>0</v>
      </c>
      <c r="T211" s="63">
        <v>0</v>
      </c>
      <c r="U211" s="63"/>
      <c r="V211" s="1"/>
      <c r="W211" s="6"/>
      <c r="X211" s="6"/>
      <c r="Y211" s="6"/>
      <c r="Z211" s="6"/>
      <c r="AA211" s="6"/>
      <c r="AB211" s="6" t="s">
        <v>883</v>
      </c>
      <c r="AC211" s="6" t="s">
        <v>266</v>
      </c>
      <c r="AD211" s="6"/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M211" s="6" t="e">
        <f>_xlfn.XLOOKUP($C211,#REF!,#REF!,"-",0)</f>
        <v>#REF!</v>
      </c>
      <c r="AN211" s="10">
        <f t="shared" si="3"/>
        <v>0</v>
      </c>
    </row>
    <row r="212" spans="1:40" x14ac:dyDescent="0.25">
      <c r="A212" s="6" t="str">
        <f>IF(IFERROR(VLOOKUP($C212,#REF!,2,0),$C212)="Accion",CONCATENATE(IFERROR(VLOOKUP($C212,#REF!,2,0),$C212)," - ",E212),IFERROR(VLOOKUP($C212,#REF!,2,0),$C212))</f>
        <v>Emerson Export Engineering Centre</v>
      </c>
      <c r="B212" s="9" t="s">
        <v>885</v>
      </c>
      <c r="C212" s="1" t="s">
        <v>168</v>
      </c>
      <c r="D212" s="1" t="s">
        <v>886</v>
      </c>
      <c r="E212" s="9" t="s">
        <v>62</v>
      </c>
      <c r="F212" s="9" t="s">
        <v>243</v>
      </c>
      <c r="G212" s="9" t="s">
        <v>263</v>
      </c>
      <c r="H212" s="63">
        <v>0</v>
      </c>
      <c r="I212" s="63">
        <v>0</v>
      </c>
      <c r="J212" s="63">
        <v>0</v>
      </c>
      <c r="K212" s="63">
        <v>0</v>
      </c>
      <c r="L212" s="63">
        <v>0</v>
      </c>
      <c r="M212" s="63">
        <v>0</v>
      </c>
      <c r="N212" s="63">
        <v>0</v>
      </c>
      <c r="O212" s="63">
        <v>0</v>
      </c>
      <c r="P212" s="63">
        <v>0</v>
      </c>
      <c r="Q212" s="63">
        <v>0</v>
      </c>
      <c r="R212" s="63">
        <v>0</v>
      </c>
      <c r="S212" s="63">
        <v>0</v>
      </c>
      <c r="T212" s="63">
        <v>0</v>
      </c>
      <c r="U212" s="63"/>
      <c r="V212" s="1"/>
      <c r="W212" s="6"/>
      <c r="X212" s="6"/>
      <c r="Y212" s="6"/>
      <c r="Z212" s="6"/>
      <c r="AA212" s="6"/>
      <c r="AB212" s="6" t="s">
        <v>885</v>
      </c>
      <c r="AC212" s="6" t="s">
        <v>266</v>
      </c>
      <c r="AD212" s="6"/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M212" s="6" t="e">
        <f>_xlfn.XLOOKUP($C212,#REF!,#REF!,"-",0)</f>
        <v>#REF!</v>
      </c>
      <c r="AN212" s="10">
        <f t="shared" si="3"/>
        <v>0</v>
      </c>
    </row>
    <row r="213" spans="1:40" x14ac:dyDescent="0.25">
      <c r="A213" s="6" t="str">
        <f>IF(IFERROR(VLOOKUP($C213,#REF!,2,0),$C213)="Accion",CONCATENATE(IFERROR(VLOOKUP($C213,#REF!,2,0),$C213)," - ",E213),IFERROR(VLOOKUP($C213,#REF!,2,0),$C213))</f>
        <v>JOHNSON &amp; JOHNSON PVT. LTD</v>
      </c>
      <c r="B213" s="9" t="s">
        <v>887</v>
      </c>
      <c r="C213" s="1" t="s">
        <v>183</v>
      </c>
      <c r="D213" s="1" t="s">
        <v>888</v>
      </c>
      <c r="E213" s="9" t="s">
        <v>62</v>
      </c>
      <c r="F213" s="9" t="s">
        <v>243</v>
      </c>
      <c r="G213" s="9" t="s">
        <v>263</v>
      </c>
      <c r="H213" s="63">
        <v>0</v>
      </c>
      <c r="I213" s="63">
        <v>0</v>
      </c>
      <c r="J213" s="63">
        <v>0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3">
        <v>0</v>
      </c>
      <c r="T213" s="63">
        <v>0</v>
      </c>
      <c r="U213" s="63"/>
      <c r="V213" s="1"/>
      <c r="W213" s="6"/>
      <c r="X213" s="6"/>
      <c r="Y213" s="6"/>
      <c r="Z213" s="6"/>
      <c r="AA213" s="6"/>
      <c r="AB213" s="6" t="s">
        <v>887</v>
      </c>
      <c r="AC213" s="6" t="s">
        <v>266</v>
      </c>
      <c r="AD213" s="6"/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M213" s="6" t="e">
        <f>_xlfn.XLOOKUP($C213,#REF!,#REF!,"-",0)</f>
        <v>#REF!</v>
      </c>
      <c r="AN213" s="10">
        <f t="shared" si="3"/>
        <v>0</v>
      </c>
    </row>
    <row r="214" spans="1:40" x14ac:dyDescent="0.25">
      <c r="A214" s="6" t="str">
        <f>IF(IFERROR(VLOOKUP($C214,#REF!,2,0),$C214)="Accion",CONCATENATE(IFERROR(VLOOKUP($C214,#REF!,2,0),$C214)," - ",E214),IFERROR(VLOOKUP($C214,#REF!,2,0),$C214))</f>
        <v>Anixter India Pvt Limited</v>
      </c>
      <c r="B214" s="9" t="s">
        <v>889</v>
      </c>
      <c r="C214" s="1" t="s">
        <v>99</v>
      </c>
      <c r="D214" s="105" t="s">
        <v>890</v>
      </c>
      <c r="E214" s="9" t="s">
        <v>62</v>
      </c>
      <c r="F214" s="9" t="s">
        <v>243</v>
      </c>
      <c r="G214" s="9" t="s">
        <v>263</v>
      </c>
      <c r="H214" s="63">
        <v>0</v>
      </c>
      <c r="I214" s="63">
        <v>0</v>
      </c>
      <c r="J214" s="63">
        <v>0</v>
      </c>
      <c r="K214" s="63">
        <v>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v>0</v>
      </c>
      <c r="R214" s="63">
        <v>0</v>
      </c>
      <c r="S214" s="63">
        <v>0</v>
      </c>
      <c r="T214" s="63">
        <v>0</v>
      </c>
      <c r="U214" s="63"/>
      <c r="V214" s="1"/>
      <c r="W214" s="6"/>
      <c r="X214" s="6"/>
      <c r="Y214" s="6"/>
      <c r="Z214" s="6"/>
      <c r="AA214" s="6"/>
      <c r="AB214" s="6" t="s">
        <v>889</v>
      </c>
      <c r="AC214" s="6" t="s">
        <v>266</v>
      </c>
      <c r="AD214" s="6"/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M214" s="6" t="e">
        <f>_xlfn.XLOOKUP($C214,#REF!,#REF!,"-",0)</f>
        <v>#REF!</v>
      </c>
      <c r="AN214" s="10">
        <f t="shared" si="3"/>
        <v>0</v>
      </c>
    </row>
    <row r="215" spans="1:40" x14ac:dyDescent="0.25">
      <c r="A215" s="6" t="str">
        <f>IF(IFERROR(VLOOKUP($C215,#REF!,2,0),$C215)="Accion",CONCATENATE(IFERROR(VLOOKUP($C215,#REF!,2,0),$C215)," - ",E215),IFERROR(VLOOKUP($C215,#REF!,2,0),$C215))</f>
        <v>Abbott Laboratories</v>
      </c>
      <c r="B215" s="9" t="s">
        <v>891</v>
      </c>
      <c r="C215" s="1" t="s">
        <v>147</v>
      </c>
      <c r="D215" s="1" t="s">
        <v>892</v>
      </c>
      <c r="E215" s="9" t="s">
        <v>62</v>
      </c>
      <c r="F215" s="9" t="s">
        <v>241</v>
      </c>
      <c r="G215" s="9" t="s">
        <v>263</v>
      </c>
      <c r="H215" s="63">
        <v>0</v>
      </c>
      <c r="I215" s="63">
        <v>0</v>
      </c>
      <c r="J215" s="63">
        <v>0</v>
      </c>
      <c r="K215" s="63">
        <v>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v>0</v>
      </c>
      <c r="R215" s="63">
        <v>0</v>
      </c>
      <c r="S215" s="63">
        <v>0</v>
      </c>
      <c r="T215" s="63">
        <v>0</v>
      </c>
      <c r="U215" s="63"/>
      <c r="V215" s="1"/>
      <c r="W215" s="6"/>
      <c r="X215" s="6"/>
      <c r="Y215" s="6"/>
      <c r="Z215" s="6"/>
      <c r="AA215" s="6"/>
      <c r="AB215" s="6" t="s">
        <v>891</v>
      </c>
      <c r="AC215" s="6" t="s">
        <v>265</v>
      </c>
      <c r="AD215" s="6"/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M215" s="6" t="e">
        <f>_xlfn.XLOOKUP($C215,#REF!,#REF!,"-",0)</f>
        <v>#REF!</v>
      </c>
      <c r="AN215" s="10">
        <f t="shared" si="3"/>
        <v>0</v>
      </c>
    </row>
    <row r="216" spans="1:40" x14ac:dyDescent="0.25">
      <c r="A216" s="6" t="str">
        <f>IF(IFERROR(VLOOKUP($C216,#REF!,2,0),$C216)="Accion",CONCATENATE(IFERROR(VLOOKUP($C216,#REF!,2,0),$C216)," - ",E216),IFERROR(VLOOKUP($C216,#REF!,2,0),$C216))</f>
        <v>Avalara Technologies Private Limited</v>
      </c>
      <c r="B216" s="9" t="s">
        <v>893</v>
      </c>
      <c r="C216" s="1" t="s">
        <v>492</v>
      </c>
      <c r="D216" s="1" t="s">
        <v>894</v>
      </c>
      <c r="E216" s="9" t="s">
        <v>62</v>
      </c>
      <c r="F216" s="9" t="s">
        <v>243</v>
      </c>
      <c r="G216" s="9" t="s">
        <v>263</v>
      </c>
      <c r="H216" s="63">
        <v>0</v>
      </c>
      <c r="I216" s="63">
        <v>0</v>
      </c>
      <c r="J216" s="63">
        <v>0</v>
      </c>
      <c r="K216" s="63">
        <v>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v>0</v>
      </c>
      <c r="R216" s="63">
        <v>0</v>
      </c>
      <c r="S216" s="63">
        <v>0</v>
      </c>
      <c r="T216" s="63">
        <v>0</v>
      </c>
      <c r="U216" s="63"/>
      <c r="V216" s="1"/>
      <c r="W216" s="6"/>
      <c r="X216" s="6"/>
      <c r="Y216" s="6"/>
      <c r="Z216" s="6"/>
      <c r="AA216" s="6"/>
      <c r="AB216" s="6" t="s">
        <v>893</v>
      </c>
      <c r="AC216" s="6" t="s">
        <v>266</v>
      </c>
      <c r="AD216" s="6"/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M216" s="6" t="e">
        <f>_xlfn.XLOOKUP($C216,#REF!,#REF!,"-",0)</f>
        <v>#REF!</v>
      </c>
      <c r="AN216" s="10">
        <f t="shared" si="3"/>
        <v>0</v>
      </c>
    </row>
    <row r="217" spans="1:40" x14ac:dyDescent="0.25">
      <c r="A217" s="6" t="str">
        <f>IF(IFERROR(VLOOKUP($C217,#REF!,2,0),$C217)="Accion",CONCATENATE(IFERROR(VLOOKUP($C217,#REF!,2,0),$C217)," - ",E217),IFERROR(VLOOKUP($C217,#REF!,2,0),$C217))</f>
        <v>Organisation for Prohibition of Chemical Weapons</v>
      </c>
      <c r="B217" s="9" t="s">
        <v>895</v>
      </c>
      <c r="C217" s="1" t="s">
        <v>71</v>
      </c>
      <c r="D217" s="1" t="s">
        <v>896</v>
      </c>
      <c r="E217" s="9" t="s">
        <v>66</v>
      </c>
      <c r="F217" s="9" t="s">
        <v>238</v>
      </c>
      <c r="G217" s="9" t="s">
        <v>263</v>
      </c>
      <c r="H217" s="63">
        <v>0</v>
      </c>
      <c r="I217" s="63">
        <v>0</v>
      </c>
      <c r="J217" s="63">
        <v>0</v>
      </c>
      <c r="K217" s="63">
        <v>0</v>
      </c>
      <c r="L217" s="63">
        <v>0</v>
      </c>
      <c r="M217" s="63">
        <v>0</v>
      </c>
      <c r="N217" s="63">
        <v>0</v>
      </c>
      <c r="O217" s="63">
        <v>0</v>
      </c>
      <c r="P217" s="63">
        <v>0</v>
      </c>
      <c r="Q217" s="63">
        <v>0</v>
      </c>
      <c r="R217" s="63">
        <v>0</v>
      </c>
      <c r="S217" s="63">
        <v>0</v>
      </c>
      <c r="T217" s="63">
        <v>0</v>
      </c>
      <c r="U217" s="63"/>
      <c r="V217" s="1"/>
      <c r="W217" s="6"/>
      <c r="X217" s="6"/>
      <c r="Y217" s="6"/>
      <c r="Z217" s="6"/>
      <c r="AA217" s="6"/>
      <c r="AB217" s="6" t="s">
        <v>895</v>
      </c>
      <c r="AC217" s="6" t="s">
        <v>264</v>
      </c>
      <c r="AD217" s="6"/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M217" s="6" t="e">
        <f>_xlfn.XLOOKUP($C217,#REF!,#REF!,"-",0)</f>
        <v>#REF!</v>
      </c>
      <c r="AN217" s="10">
        <f t="shared" si="3"/>
        <v>0</v>
      </c>
    </row>
    <row r="218" spans="1:40" x14ac:dyDescent="0.25">
      <c r="A218" s="6" t="str">
        <f>IF(IFERROR(VLOOKUP($C218,#REF!,2,0),$C218)="Accion",CONCATENATE(IFERROR(VLOOKUP($C218,#REF!,2,0),$C218)," - ",E218),IFERROR(VLOOKUP($C218,#REF!,2,0),$C218))</f>
        <v>Diamanti Inc.</v>
      </c>
      <c r="B218" s="9" t="s">
        <v>897</v>
      </c>
      <c r="C218" s="1" t="s">
        <v>898</v>
      </c>
      <c r="D218" s="1" t="s">
        <v>899</v>
      </c>
      <c r="E218" s="9" t="s">
        <v>66</v>
      </c>
      <c r="F218" s="9" t="s">
        <v>241</v>
      </c>
      <c r="G218" s="9" t="s">
        <v>263</v>
      </c>
      <c r="H218" s="63">
        <v>0</v>
      </c>
      <c r="I218" s="63">
        <v>0</v>
      </c>
      <c r="J218" s="63">
        <v>0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  <c r="R218" s="63">
        <v>0</v>
      </c>
      <c r="S218" s="63">
        <v>0</v>
      </c>
      <c r="T218" s="63">
        <v>0</v>
      </c>
      <c r="U218" s="63"/>
      <c r="V218" s="1"/>
      <c r="W218" s="6"/>
      <c r="X218" s="6"/>
      <c r="Y218" s="6"/>
      <c r="Z218" s="6"/>
      <c r="AA218" s="6"/>
      <c r="AB218" s="6" t="s">
        <v>897</v>
      </c>
      <c r="AC218" s="6" t="s">
        <v>265</v>
      </c>
      <c r="AD218" s="6"/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M218" s="6" t="e">
        <f>_xlfn.XLOOKUP($C218,#REF!,#REF!,"-",0)</f>
        <v>#REF!</v>
      </c>
      <c r="AN218" s="10">
        <f t="shared" si="3"/>
        <v>0</v>
      </c>
    </row>
    <row r="219" spans="1:40" x14ac:dyDescent="0.25">
      <c r="A219" s="6" t="str">
        <f>IF(IFERROR(VLOOKUP($C219,#REF!,2,0),$C219)="Accion",CONCATENATE(IFERROR(VLOOKUP($C219,#REF!,2,0),$C219)," - ",E219),IFERROR(VLOOKUP($C219,#REF!,2,0),$C219))</f>
        <v>JOHNSON &amp; JOHNSON PVT. LTD</v>
      </c>
      <c r="B219" s="9" t="s">
        <v>900</v>
      </c>
      <c r="C219" s="1" t="s">
        <v>183</v>
      </c>
      <c r="D219" s="1" t="s">
        <v>901</v>
      </c>
      <c r="E219" s="9" t="s">
        <v>62</v>
      </c>
      <c r="F219" s="9" t="s">
        <v>243</v>
      </c>
      <c r="G219" s="9" t="s">
        <v>263</v>
      </c>
      <c r="H219" s="63">
        <v>0</v>
      </c>
      <c r="I219" s="63">
        <v>0</v>
      </c>
      <c r="J219" s="63">
        <v>0</v>
      </c>
      <c r="K219" s="63">
        <v>0</v>
      </c>
      <c r="L219" s="63">
        <v>0</v>
      </c>
      <c r="M219" s="63">
        <v>0</v>
      </c>
      <c r="N219" s="63">
        <v>0</v>
      </c>
      <c r="O219" s="63">
        <v>0</v>
      </c>
      <c r="P219" s="63">
        <v>0</v>
      </c>
      <c r="Q219" s="63">
        <v>0</v>
      </c>
      <c r="R219" s="63">
        <v>0</v>
      </c>
      <c r="S219" s="63">
        <v>0</v>
      </c>
      <c r="T219" s="63">
        <v>0</v>
      </c>
      <c r="U219" s="63"/>
      <c r="V219" s="1"/>
      <c r="W219" s="6"/>
      <c r="X219" s="6"/>
      <c r="Y219" s="6"/>
      <c r="Z219" s="6"/>
      <c r="AA219" s="6"/>
      <c r="AB219" s="6" t="s">
        <v>900</v>
      </c>
      <c r="AC219" s="6" t="s">
        <v>266</v>
      </c>
      <c r="AD219" s="6"/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M219" s="6" t="e">
        <f>_xlfn.XLOOKUP($C219,#REF!,#REF!,"-",0)</f>
        <v>#REF!</v>
      </c>
      <c r="AN219" s="10">
        <f t="shared" si="3"/>
        <v>0</v>
      </c>
    </row>
    <row r="220" spans="1:40" x14ac:dyDescent="0.25">
      <c r="A220" s="6" t="str">
        <f>IF(IFERROR(VLOOKUP($C220,#REF!,2,0),$C220)="Accion",CONCATENATE(IFERROR(VLOOKUP($C220,#REF!,2,0),$C220)," - ",E220),IFERROR(VLOOKUP($C220,#REF!,2,0),$C220))</f>
        <v>LaborEdge LLC</v>
      </c>
      <c r="B220" s="9" t="s">
        <v>902</v>
      </c>
      <c r="C220" s="1" t="s">
        <v>70</v>
      </c>
      <c r="D220" s="1" t="s">
        <v>903</v>
      </c>
      <c r="E220" s="9" t="s">
        <v>62</v>
      </c>
      <c r="F220" s="9" t="s">
        <v>241</v>
      </c>
      <c r="G220" s="9" t="s">
        <v>263</v>
      </c>
      <c r="H220" s="63">
        <v>0</v>
      </c>
      <c r="I220" s="63">
        <v>0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  <c r="R220" s="63">
        <v>0</v>
      </c>
      <c r="S220" s="63">
        <v>0</v>
      </c>
      <c r="T220" s="63">
        <v>0</v>
      </c>
      <c r="U220" s="63"/>
      <c r="V220" s="1"/>
      <c r="W220" s="6"/>
      <c r="X220" s="6"/>
      <c r="Y220" s="6"/>
      <c r="Z220" s="6"/>
      <c r="AA220" s="6"/>
      <c r="AB220" s="6" t="s">
        <v>902</v>
      </c>
      <c r="AC220" s="6" t="s">
        <v>265</v>
      </c>
      <c r="AD220" s="6"/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M220" s="6" t="e">
        <f>_xlfn.XLOOKUP($C220,#REF!,#REF!,"-",0)</f>
        <v>#REF!</v>
      </c>
      <c r="AN220" s="10">
        <f t="shared" si="3"/>
        <v>0</v>
      </c>
    </row>
    <row r="221" spans="1:40" x14ac:dyDescent="0.25">
      <c r="A221" s="6" t="str">
        <f>IF(IFERROR(VLOOKUP($C221,#REF!,2,0),$C221)="Accion",CONCATENATE(IFERROR(VLOOKUP($C221,#REF!,2,0),$C221)," - ",E221),IFERROR(VLOOKUP($C221,#REF!,2,0),$C221))</f>
        <v>Abbott GmbH</v>
      </c>
      <c r="B221" s="9" t="s">
        <v>148</v>
      </c>
      <c r="C221" s="1" t="s">
        <v>144</v>
      </c>
      <c r="D221" s="1" t="s">
        <v>13</v>
      </c>
      <c r="E221" s="9" t="s">
        <v>62</v>
      </c>
      <c r="F221" s="9" t="s">
        <v>238</v>
      </c>
      <c r="G221" s="9" t="s">
        <v>263</v>
      </c>
      <c r="H221" s="63">
        <v>0</v>
      </c>
      <c r="I221" s="63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v>0</v>
      </c>
      <c r="R221" s="63">
        <v>0</v>
      </c>
      <c r="S221" s="63">
        <v>0</v>
      </c>
      <c r="T221" s="63">
        <v>0</v>
      </c>
      <c r="U221" s="63"/>
      <c r="V221" s="1"/>
      <c r="W221" s="6"/>
      <c r="X221" s="6"/>
      <c r="Y221" s="6"/>
      <c r="Z221" s="6"/>
      <c r="AA221" s="6"/>
      <c r="AB221" s="6" t="s">
        <v>148</v>
      </c>
      <c r="AC221" s="6" t="s">
        <v>264</v>
      </c>
      <c r="AD221" s="6"/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M221" s="6" t="e">
        <f>_xlfn.XLOOKUP($C221,#REF!,#REF!,"-",0)</f>
        <v>#REF!</v>
      </c>
      <c r="AN221" s="10">
        <f t="shared" si="3"/>
        <v>0</v>
      </c>
    </row>
    <row r="222" spans="1:40" x14ac:dyDescent="0.25">
      <c r="A222" s="6" t="str">
        <f>IF(IFERROR(VLOOKUP($C222,#REF!,2,0),$C222)="Accion",CONCATENATE(IFERROR(VLOOKUP($C222,#REF!,2,0),$C222)," - ",E222),IFERROR(VLOOKUP($C222,#REF!,2,0),$C222))</f>
        <v>Diamanti Inc.</v>
      </c>
      <c r="B222" s="9" t="s">
        <v>904</v>
      </c>
      <c r="C222" s="1" t="s">
        <v>898</v>
      </c>
      <c r="D222" s="1" t="s">
        <v>905</v>
      </c>
      <c r="E222" s="9" t="s">
        <v>66</v>
      </c>
      <c r="F222" s="9" t="s">
        <v>241</v>
      </c>
      <c r="G222" s="9" t="s">
        <v>263</v>
      </c>
      <c r="H222" s="63">
        <v>0</v>
      </c>
      <c r="I222" s="63">
        <v>0</v>
      </c>
      <c r="J222" s="63">
        <v>0</v>
      </c>
      <c r="K222" s="63">
        <v>0</v>
      </c>
      <c r="L222" s="63">
        <v>0</v>
      </c>
      <c r="M222" s="63">
        <v>0</v>
      </c>
      <c r="N222" s="63">
        <v>0</v>
      </c>
      <c r="O222" s="63">
        <v>0</v>
      </c>
      <c r="P222" s="63">
        <v>0</v>
      </c>
      <c r="Q222" s="63">
        <v>0</v>
      </c>
      <c r="R222" s="63">
        <v>0</v>
      </c>
      <c r="S222" s="63">
        <v>0</v>
      </c>
      <c r="T222" s="63">
        <v>0</v>
      </c>
      <c r="U222" s="63"/>
      <c r="V222" s="1"/>
      <c r="W222" s="6"/>
      <c r="X222" s="6"/>
      <c r="Y222" s="6"/>
      <c r="Z222" s="6"/>
      <c r="AA222" s="6"/>
      <c r="AB222" s="6" t="s">
        <v>904</v>
      </c>
      <c r="AC222" s="6" t="s">
        <v>265</v>
      </c>
      <c r="AD222" s="6"/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M222" s="6" t="e">
        <f>_xlfn.XLOOKUP($C222,#REF!,#REF!,"-",0)</f>
        <v>#REF!</v>
      </c>
      <c r="AN222" s="10">
        <f t="shared" si="3"/>
        <v>0</v>
      </c>
    </row>
    <row r="223" spans="1:40" x14ac:dyDescent="0.25">
      <c r="A223" s="6" t="str">
        <f>IF(IFERROR(VLOOKUP($C223,#REF!,2,0),$C223)="Accion",CONCATENATE(IFERROR(VLOOKUP($C223,#REF!,2,0),$C223)," - ",E223),IFERROR(VLOOKUP($C223,#REF!,2,0),$C223))</f>
        <v>Abbott GmbH</v>
      </c>
      <c r="B223" s="9" t="s">
        <v>906</v>
      </c>
      <c r="C223" s="1" t="s">
        <v>144</v>
      </c>
      <c r="D223" s="1" t="s">
        <v>907</v>
      </c>
      <c r="E223" s="9" t="s">
        <v>62</v>
      </c>
      <c r="F223" s="9" t="s">
        <v>238</v>
      </c>
      <c r="G223" s="9" t="s">
        <v>263</v>
      </c>
      <c r="H223" s="63">
        <v>0</v>
      </c>
      <c r="I223" s="63">
        <v>0</v>
      </c>
      <c r="J223" s="63">
        <v>0</v>
      </c>
      <c r="K223" s="63">
        <v>0</v>
      </c>
      <c r="L223" s="63">
        <v>0</v>
      </c>
      <c r="M223" s="63">
        <v>0</v>
      </c>
      <c r="N223" s="63">
        <v>0</v>
      </c>
      <c r="O223" s="63">
        <v>0</v>
      </c>
      <c r="P223" s="63">
        <v>0</v>
      </c>
      <c r="Q223" s="63">
        <v>0</v>
      </c>
      <c r="R223" s="63">
        <v>0</v>
      </c>
      <c r="S223" s="63">
        <v>0</v>
      </c>
      <c r="T223" s="63">
        <v>0</v>
      </c>
      <c r="U223" s="63"/>
      <c r="V223" s="1"/>
      <c r="W223" s="6"/>
      <c r="X223" s="6"/>
      <c r="Y223" s="6"/>
      <c r="Z223" s="6"/>
      <c r="AA223" s="6"/>
      <c r="AB223" s="6" t="s">
        <v>906</v>
      </c>
      <c r="AC223" s="6" t="s">
        <v>264</v>
      </c>
      <c r="AD223" s="6"/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M223" s="6" t="e">
        <f>_xlfn.XLOOKUP($C223,#REF!,#REF!,"-",0)</f>
        <v>#REF!</v>
      </c>
      <c r="AN223" s="10">
        <f t="shared" si="3"/>
        <v>0</v>
      </c>
    </row>
    <row r="224" spans="1:40" x14ac:dyDescent="0.25">
      <c r="A224" s="6" t="str">
        <f>IF(IFERROR(VLOOKUP($C224,#REF!,2,0),$C224)="Accion",CONCATENATE(IFERROR(VLOOKUP($C224,#REF!,2,0),$C224)," - ",E224),IFERROR(VLOOKUP($C224,#REF!,2,0),$C224))</f>
        <v>Abbott GmbH</v>
      </c>
      <c r="B224" s="9" t="s">
        <v>908</v>
      </c>
      <c r="C224" s="1" t="s">
        <v>144</v>
      </c>
      <c r="D224" s="1" t="s">
        <v>909</v>
      </c>
      <c r="E224" s="9" t="s">
        <v>62</v>
      </c>
      <c r="F224" s="9" t="s">
        <v>238</v>
      </c>
      <c r="G224" s="9" t="s">
        <v>263</v>
      </c>
      <c r="H224" s="63">
        <v>0</v>
      </c>
      <c r="I224" s="63">
        <v>0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v>0</v>
      </c>
      <c r="R224" s="63">
        <v>0</v>
      </c>
      <c r="S224" s="63">
        <v>0</v>
      </c>
      <c r="T224" s="63">
        <v>0</v>
      </c>
      <c r="U224" s="63"/>
      <c r="V224" s="1"/>
      <c r="W224" s="6"/>
      <c r="X224" s="6"/>
      <c r="Y224" s="6"/>
      <c r="Z224" s="6"/>
      <c r="AA224" s="6"/>
      <c r="AB224" s="6" t="s">
        <v>908</v>
      </c>
      <c r="AC224" s="6" t="s">
        <v>264</v>
      </c>
      <c r="AD224" s="6"/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M224" s="6" t="e">
        <f>_xlfn.XLOOKUP($C224,#REF!,#REF!,"-",0)</f>
        <v>#REF!</v>
      </c>
      <c r="AN224" s="10">
        <f t="shared" si="3"/>
        <v>0</v>
      </c>
    </row>
    <row r="225" spans="1:40" x14ac:dyDescent="0.25">
      <c r="A225" s="6" t="str">
        <f>IF(IFERROR(VLOOKUP($C225,#REF!,2,0),$C225)="Accion",CONCATENATE(IFERROR(VLOOKUP($C225,#REF!,2,0),$C225)," - ",E225),IFERROR(VLOOKUP($C225,#REF!,2,0),$C225))</f>
        <v>National Informatics Centre Services Incorporated (NICSI)</v>
      </c>
      <c r="B225" s="9" t="s">
        <v>910</v>
      </c>
      <c r="C225" s="1" t="s">
        <v>187</v>
      </c>
      <c r="D225" s="1" t="s">
        <v>911</v>
      </c>
      <c r="E225" s="9" t="s">
        <v>66</v>
      </c>
      <c r="F225" s="9" t="s">
        <v>243</v>
      </c>
      <c r="G225" s="9" t="s">
        <v>263</v>
      </c>
      <c r="H225" s="63">
        <v>0</v>
      </c>
      <c r="I225" s="63">
        <v>0</v>
      </c>
      <c r="J225" s="63">
        <v>0</v>
      </c>
      <c r="K225" s="63">
        <v>0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v>0</v>
      </c>
      <c r="R225" s="63">
        <v>0</v>
      </c>
      <c r="S225" s="63">
        <v>0</v>
      </c>
      <c r="T225" s="63">
        <v>0</v>
      </c>
      <c r="U225" s="63"/>
      <c r="V225" s="1"/>
      <c r="W225" s="6"/>
      <c r="X225" s="6"/>
      <c r="Y225" s="6"/>
      <c r="Z225" s="6"/>
      <c r="AA225" s="6"/>
      <c r="AB225" s="6" t="s">
        <v>910</v>
      </c>
      <c r="AC225" s="6" t="s">
        <v>266</v>
      </c>
      <c r="AD225" s="6"/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M225" s="6" t="e">
        <f>_xlfn.XLOOKUP($C225,#REF!,#REF!,"-",0)</f>
        <v>#REF!</v>
      </c>
      <c r="AN225" s="10">
        <f t="shared" si="3"/>
        <v>0</v>
      </c>
    </row>
    <row r="226" spans="1:40" x14ac:dyDescent="0.25">
      <c r="A226" s="6" t="str">
        <f>IF(IFERROR(VLOOKUP($C226,#REF!,2,0),$C226)="Accion",CONCATENATE(IFERROR(VLOOKUP($C226,#REF!,2,0),$C226)," - ",E226),IFERROR(VLOOKUP($C226,#REF!,2,0),$C226))</f>
        <v>International Atomic Energy Agency</v>
      </c>
      <c r="B226" s="9" t="s">
        <v>912</v>
      </c>
      <c r="C226" s="1" t="s">
        <v>84</v>
      </c>
      <c r="D226" s="1" t="s">
        <v>913</v>
      </c>
      <c r="E226" s="9" t="s">
        <v>66</v>
      </c>
      <c r="F226" s="9" t="s">
        <v>238</v>
      </c>
      <c r="G226" s="9" t="s">
        <v>263</v>
      </c>
      <c r="H226" s="63">
        <v>0</v>
      </c>
      <c r="I226" s="63">
        <v>0</v>
      </c>
      <c r="J226" s="63">
        <v>0</v>
      </c>
      <c r="K226" s="63">
        <v>0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v>0</v>
      </c>
      <c r="R226" s="63">
        <v>0</v>
      </c>
      <c r="S226" s="63">
        <v>0</v>
      </c>
      <c r="T226" s="63">
        <v>0</v>
      </c>
      <c r="U226" s="63"/>
      <c r="V226" s="1"/>
      <c r="W226" s="6"/>
      <c r="X226" s="6"/>
      <c r="Y226" s="6"/>
      <c r="Z226" s="6"/>
      <c r="AA226" s="6"/>
      <c r="AB226" s="6" t="s">
        <v>912</v>
      </c>
      <c r="AC226" s="6" t="s">
        <v>264</v>
      </c>
      <c r="AD226" s="6"/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M226" s="6" t="e">
        <f>_xlfn.XLOOKUP($C226,#REF!,#REF!,"-",0)</f>
        <v>#REF!</v>
      </c>
      <c r="AN226" s="10">
        <f t="shared" si="3"/>
        <v>0</v>
      </c>
    </row>
    <row r="227" spans="1:40" x14ac:dyDescent="0.25">
      <c r="A227" s="6" t="str">
        <f>IF(IFERROR(VLOOKUP($C227,#REF!,2,0),$C227)="Accion",CONCATENATE(IFERROR(VLOOKUP($C227,#REF!,2,0),$C227)," - ",E227),IFERROR(VLOOKUP($C227,#REF!,2,0),$C227))</f>
        <v>International Atomic Energy Agency</v>
      </c>
      <c r="B227" s="9" t="s">
        <v>916</v>
      </c>
      <c r="C227" s="1" t="s">
        <v>84</v>
      </c>
      <c r="D227" s="1" t="s">
        <v>917</v>
      </c>
      <c r="E227" s="9" t="s">
        <v>66</v>
      </c>
      <c r="F227" s="9" t="s">
        <v>238</v>
      </c>
      <c r="G227" s="9" t="s">
        <v>263</v>
      </c>
      <c r="H227" s="63">
        <v>0</v>
      </c>
      <c r="I227" s="63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0</v>
      </c>
      <c r="O227" s="63">
        <v>0</v>
      </c>
      <c r="P227" s="63">
        <v>0</v>
      </c>
      <c r="Q227" s="63">
        <v>0</v>
      </c>
      <c r="R227" s="63">
        <v>0</v>
      </c>
      <c r="S227" s="63">
        <v>0</v>
      </c>
      <c r="T227" s="63">
        <v>0</v>
      </c>
      <c r="U227" s="63"/>
      <c r="V227" s="1"/>
      <c r="W227" s="6"/>
      <c r="X227" s="6"/>
      <c r="Y227" s="6"/>
      <c r="Z227" s="6"/>
      <c r="AA227" s="6"/>
      <c r="AB227" s="6" t="s">
        <v>916</v>
      </c>
      <c r="AC227" s="6" t="s">
        <v>264</v>
      </c>
      <c r="AD227" s="6"/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M227" s="6" t="e">
        <f>_xlfn.XLOOKUP($C227,#REF!,#REF!,"-",0)</f>
        <v>#REF!</v>
      </c>
      <c r="AN227" s="10">
        <f t="shared" si="3"/>
        <v>0</v>
      </c>
    </row>
    <row r="228" spans="1:40" x14ac:dyDescent="0.25">
      <c r="A228" s="6" t="str">
        <f>IF(IFERROR(VLOOKUP($C228,#REF!,2,0),$C228)="Accion",CONCATENATE(IFERROR(VLOOKUP($C228,#REF!,2,0),$C228)," - ",E228),IFERROR(VLOOKUP($C228,#REF!,2,0),$C228))</f>
        <v>International Atomic Energy Agency</v>
      </c>
      <c r="B228" s="9" t="s">
        <v>564</v>
      </c>
      <c r="C228" s="1" t="s">
        <v>84</v>
      </c>
      <c r="D228" s="1" t="s">
        <v>565</v>
      </c>
      <c r="E228" s="9" t="s">
        <v>66</v>
      </c>
      <c r="F228" s="9" t="s">
        <v>238</v>
      </c>
      <c r="G228" s="9" t="s">
        <v>263</v>
      </c>
      <c r="H228" s="63">
        <v>0</v>
      </c>
      <c r="I228" s="63">
        <v>0</v>
      </c>
      <c r="J228" s="63">
        <v>0</v>
      </c>
      <c r="K228" s="63">
        <v>0</v>
      </c>
      <c r="L228" s="63">
        <v>0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  <c r="R228" s="63">
        <v>0</v>
      </c>
      <c r="S228" s="63">
        <v>0</v>
      </c>
      <c r="T228" s="63">
        <v>0</v>
      </c>
      <c r="U228" s="63"/>
      <c r="V228" s="1"/>
      <c r="W228" s="6"/>
      <c r="X228" s="6"/>
      <c r="Y228" s="6"/>
      <c r="Z228" s="6"/>
      <c r="AA228" s="6"/>
      <c r="AB228" s="6" t="s">
        <v>564</v>
      </c>
      <c r="AC228" s="6" t="s">
        <v>264</v>
      </c>
      <c r="AD228" s="6"/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M228" s="6" t="e">
        <f>_xlfn.XLOOKUP($C228,#REF!,#REF!,"-",0)</f>
        <v>#REF!</v>
      </c>
      <c r="AN228" s="10">
        <f t="shared" si="3"/>
        <v>0</v>
      </c>
    </row>
    <row r="229" spans="1:40" x14ac:dyDescent="0.25">
      <c r="A229" s="6" t="str">
        <f>IF(IFERROR(VLOOKUP($C229,#REF!,2,0),$C229)="Accion",CONCATENATE(IFERROR(VLOOKUP($C229,#REF!,2,0),$C229)," - ",E229),IFERROR(VLOOKUP($C229,#REF!,2,0),$C229))</f>
        <v>Wallenius Wilhelmsen Ocean AS</v>
      </c>
      <c r="B229" s="9" t="s">
        <v>918</v>
      </c>
      <c r="C229" s="1" t="s">
        <v>146</v>
      </c>
      <c r="D229" s="1" t="s">
        <v>919</v>
      </c>
      <c r="E229" s="9" t="s">
        <v>62</v>
      </c>
      <c r="F229" s="9" t="s">
        <v>238</v>
      </c>
      <c r="G229" s="9" t="s">
        <v>263</v>
      </c>
      <c r="H229" s="63">
        <v>0</v>
      </c>
      <c r="I229" s="63">
        <v>0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/>
      <c r="V229" s="1"/>
      <c r="W229" s="6"/>
      <c r="X229" s="6"/>
      <c r="Y229" s="6"/>
      <c r="Z229" s="6"/>
      <c r="AA229" s="6"/>
      <c r="AB229" s="6" t="s">
        <v>918</v>
      </c>
      <c r="AC229" s="6" t="s">
        <v>264</v>
      </c>
      <c r="AD229" s="6"/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M229" s="6" t="e">
        <f>_xlfn.XLOOKUP($C229,#REF!,#REF!,"-",0)</f>
        <v>#REF!</v>
      </c>
      <c r="AN229" s="10">
        <f t="shared" si="3"/>
        <v>0</v>
      </c>
    </row>
    <row r="230" spans="1:40" x14ac:dyDescent="0.25">
      <c r="A230" s="6" t="str">
        <f>IF(IFERROR(VLOOKUP($C230,#REF!,2,0),$C230)="Accion",CONCATENATE(IFERROR(VLOOKUP($C230,#REF!,2,0),$C230)," - ",E230),IFERROR(VLOOKUP($C230,#REF!,2,0),$C230))</f>
        <v>Wallenius Wilhelmsen Ocean AS</v>
      </c>
      <c r="B230" s="9" t="s">
        <v>920</v>
      </c>
      <c r="C230" s="1" t="s">
        <v>146</v>
      </c>
      <c r="D230" s="1" t="s">
        <v>921</v>
      </c>
      <c r="E230" s="9" t="s">
        <v>62</v>
      </c>
      <c r="F230" s="9" t="s">
        <v>238</v>
      </c>
      <c r="G230" s="9" t="s">
        <v>263</v>
      </c>
      <c r="H230" s="63">
        <v>0</v>
      </c>
      <c r="I230" s="63">
        <v>0</v>
      </c>
      <c r="J230" s="63">
        <v>0</v>
      </c>
      <c r="K230" s="63">
        <v>0</v>
      </c>
      <c r="L230" s="63">
        <v>0</v>
      </c>
      <c r="M230" s="63">
        <v>0</v>
      </c>
      <c r="N230" s="63">
        <v>0</v>
      </c>
      <c r="O230" s="63">
        <v>0</v>
      </c>
      <c r="P230" s="63">
        <v>0</v>
      </c>
      <c r="Q230" s="63">
        <v>0</v>
      </c>
      <c r="R230" s="63">
        <v>0</v>
      </c>
      <c r="S230" s="63">
        <v>0</v>
      </c>
      <c r="T230" s="63">
        <v>0</v>
      </c>
      <c r="U230" s="63"/>
      <c r="V230" s="1"/>
      <c r="W230" s="6"/>
      <c r="X230" s="6"/>
      <c r="Y230" s="6"/>
      <c r="Z230" s="6"/>
      <c r="AA230" s="6"/>
      <c r="AB230" s="6" t="s">
        <v>920</v>
      </c>
      <c r="AC230" s="6" t="s">
        <v>264</v>
      </c>
      <c r="AD230" s="6"/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M230" s="6" t="e">
        <f>_xlfn.XLOOKUP($C230,#REF!,#REF!,"-",0)</f>
        <v>#REF!</v>
      </c>
      <c r="AN230" s="10">
        <f t="shared" si="3"/>
        <v>0</v>
      </c>
    </row>
    <row r="231" spans="1:40" x14ac:dyDescent="0.25">
      <c r="A231" s="6" t="str">
        <f>IF(IFERROR(VLOOKUP($C231,#REF!,2,0),$C231)="Accion",CONCATENATE(IFERROR(VLOOKUP($C231,#REF!,2,0),$C231)," - ",E231),IFERROR(VLOOKUP($C231,#REF!,2,0),$C231))</f>
        <v>ITxM Solutions Private Ltd.</v>
      </c>
      <c r="B231" s="9" t="s">
        <v>922</v>
      </c>
      <c r="C231" s="1" t="s">
        <v>88</v>
      </c>
      <c r="D231" s="1" t="s">
        <v>923</v>
      </c>
      <c r="E231" s="9" t="s">
        <v>62</v>
      </c>
      <c r="F231" s="9" t="s">
        <v>243</v>
      </c>
      <c r="G231" s="9" t="s">
        <v>263</v>
      </c>
      <c r="H231" s="63">
        <v>0</v>
      </c>
      <c r="I231" s="63">
        <v>0</v>
      </c>
      <c r="J231" s="63">
        <v>0</v>
      </c>
      <c r="K231" s="63">
        <v>0</v>
      </c>
      <c r="L231" s="63">
        <v>0</v>
      </c>
      <c r="M231" s="63">
        <v>0</v>
      </c>
      <c r="N231" s="63">
        <v>0</v>
      </c>
      <c r="O231" s="63">
        <v>0</v>
      </c>
      <c r="P231" s="63">
        <v>0</v>
      </c>
      <c r="Q231" s="63">
        <v>0</v>
      </c>
      <c r="R231" s="63">
        <v>0</v>
      </c>
      <c r="S231" s="63">
        <v>0</v>
      </c>
      <c r="T231" s="63">
        <v>0</v>
      </c>
      <c r="U231" s="63"/>
      <c r="V231" s="1"/>
      <c r="W231" s="6"/>
      <c r="X231" s="6"/>
      <c r="Y231" s="6"/>
      <c r="Z231" s="6"/>
      <c r="AA231" s="6"/>
      <c r="AB231" s="6" t="s">
        <v>922</v>
      </c>
      <c r="AC231" s="6" t="s">
        <v>266</v>
      </c>
      <c r="AD231" s="6"/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M231" s="6" t="e">
        <f>_xlfn.XLOOKUP($C231,#REF!,#REF!,"-",0)</f>
        <v>#REF!</v>
      </c>
      <c r="AN231" s="10">
        <f t="shared" si="3"/>
        <v>0</v>
      </c>
    </row>
    <row r="232" spans="1:40" x14ac:dyDescent="0.25">
      <c r="A232" s="6" t="str">
        <f>IF(IFERROR(VLOOKUP($C232,#REF!,2,0),$C232)="Accion",CONCATENATE(IFERROR(VLOOKUP($C232,#REF!,2,0),$C232)," - ",E232),IFERROR(VLOOKUP($C232,#REF!,2,0),$C232))</f>
        <v>Dataverse Solutions Private Limited</v>
      </c>
      <c r="B232" s="9" t="s">
        <v>566</v>
      </c>
      <c r="C232" s="1" t="s">
        <v>167</v>
      </c>
      <c r="D232" s="1" t="s">
        <v>567</v>
      </c>
      <c r="E232" s="9" t="s">
        <v>62</v>
      </c>
      <c r="F232" s="9" t="s">
        <v>243</v>
      </c>
      <c r="G232" s="9" t="s">
        <v>263</v>
      </c>
      <c r="H232" s="63">
        <v>0</v>
      </c>
      <c r="I232" s="63">
        <v>0</v>
      </c>
      <c r="J232" s="63">
        <v>0</v>
      </c>
      <c r="K232" s="63">
        <v>0</v>
      </c>
      <c r="L232" s="63">
        <v>0</v>
      </c>
      <c r="M232" s="63">
        <v>0</v>
      </c>
      <c r="N232" s="63">
        <v>0</v>
      </c>
      <c r="O232" s="63">
        <v>0</v>
      </c>
      <c r="P232" s="63">
        <v>0</v>
      </c>
      <c r="Q232" s="63">
        <v>0</v>
      </c>
      <c r="R232" s="63">
        <v>0</v>
      </c>
      <c r="S232" s="63">
        <v>0</v>
      </c>
      <c r="T232" s="63">
        <v>0</v>
      </c>
      <c r="U232" s="63"/>
      <c r="V232" s="1"/>
      <c r="W232" s="6"/>
      <c r="X232" s="6"/>
      <c r="Y232" s="6"/>
      <c r="Z232" s="6"/>
      <c r="AA232" s="6"/>
      <c r="AB232" s="6" t="s">
        <v>566</v>
      </c>
      <c r="AC232" s="6" t="s">
        <v>266</v>
      </c>
      <c r="AD232" s="6"/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M232" s="6" t="e">
        <f>_xlfn.XLOOKUP($C232,#REF!,#REF!,"-",0)</f>
        <v>#REF!</v>
      </c>
      <c r="AN232" s="10">
        <f t="shared" si="3"/>
        <v>0</v>
      </c>
    </row>
    <row r="233" spans="1:40" x14ac:dyDescent="0.25">
      <c r="A233" s="6" t="str">
        <f>IF(IFERROR(VLOOKUP($C233,#REF!,2,0),$C233)="Accion",CONCATENATE(IFERROR(VLOOKUP($C233,#REF!,2,0),$C233)," - ",E233),IFERROR(VLOOKUP($C233,#REF!,2,0),$C233))</f>
        <v>Wallenius Wilhelmsen Ocean AS</v>
      </c>
      <c r="B233" s="9" t="s">
        <v>924</v>
      </c>
      <c r="C233" s="1" t="s">
        <v>146</v>
      </c>
      <c r="D233" s="1" t="s">
        <v>925</v>
      </c>
      <c r="E233" s="9" t="s">
        <v>62</v>
      </c>
      <c r="F233" s="9" t="s">
        <v>238</v>
      </c>
      <c r="G233" s="9" t="s">
        <v>263</v>
      </c>
      <c r="H233" s="63">
        <v>0</v>
      </c>
      <c r="I233" s="63">
        <v>0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0</v>
      </c>
      <c r="P233" s="63">
        <v>0</v>
      </c>
      <c r="Q233" s="63">
        <v>0</v>
      </c>
      <c r="R233" s="63">
        <v>0</v>
      </c>
      <c r="S233" s="63">
        <v>0</v>
      </c>
      <c r="T233" s="63">
        <v>0</v>
      </c>
      <c r="U233" s="63"/>
      <c r="V233" s="1"/>
      <c r="W233" s="6"/>
      <c r="X233" s="6"/>
      <c r="Y233" s="6"/>
      <c r="Z233" s="6"/>
      <c r="AA233" s="6"/>
      <c r="AB233" s="6" t="s">
        <v>924</v>
      </c>
      <c r="AC233" s="6" t="s">
        <v>264</v>
      </c>
      <c r="AD233" s="6"/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M233" s="6" t="e">
        <f>_xlfn.XLOOKUP($C233,#REF!,#REF!,"-",0)</f>
        <v>#REF!</v>
      </c>
      <c r="AN233" s="10">
        <f t="shared" si="3"/>
        <v>0</v>
      </c>
    </row>
    <row r="234" spans="1:40" x14ac:dyDescent="0.25">
      <c r="A234" s="6" t="str">
        <f>IF(IFERROR(VLOOKUP($C234,#REF!,2,0),$C234)="Accion",CONCATENATE(IFERROR(VLOOKUP($C234,#REF!,2,0),$C234)," - ",E234),IFERROR(VLOOKUP($C234,#REF!,2,0),$C234))</f>
        <v>Wallenius Wilhelmsen Ocean AS</v>
      </c>
      <c r="B234" s="9" t="s">
        <v>926</v>
      </c>
      <c r="C234" s="1" t="s">
        <v>146</v>
      </c>
      <c r="D234" s="1" t="s">
        <v>927</v>
      </c>
      <c r="E234" s="9" t="s">
        <v>62</v>
      </c>
      <c r="F234" s="9" t="s">
        <v>238</v>
      </c>
      <c r="G234" s="9" t="s">
        <v>263</v>
      </c>
      <c r="H234" s="63">
        <v>0</v>
      </c>
      <c r="I234" s="63">
        <v>0</v>
      </c>
      <c r="J234" s="63">
        <v>0</v>
      </c>
      <c r="K234" s="63">
        <v>0</v>
      </c>
      <c r="L234" s="63">
        <v>0</v>
      </c>
      <c r="M234" s="63">
        <v>0</v>
      </c>
      <c r="N234" s="63">
        <v>0</v>
      </c>
      <c r="O234" s="63">
        <v>0</v>
      </c>
      <c r="P234" s="63">
        <v>0</v>
      </c>
      <c r="Q234" s="63">
        <v>0</v>
      </c>
      <c r="R234" s="63">
        <v>0</v>
      </c>
      <c r="S234" s="63">
        <v>0</v>
      </c>
      <c r="T234" s="63">
        <v>0</v>
      </c>
      <c r="U234" s="63"/>
      <c r="V234" s="1"/>
      <c r="W234" s="6"/>
      <c r="X234" s="6"/>
      <c r="Y234" s="6"/>
      <c r="Z234" s="6"/>
      <c r="AA234" s="6"/>
      <c r="AB234" s="6" t="s">
        <v>926</v>
      </c>
      <c r="AC234" s="6" t="s">
        <v>264</v>
      </c>
      <c r="AD234" s="6"/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M234" s="6" t="e">
        <f>_xlfn.XLOOKUP($C234,#REF!,#REF!,"-",0)</f>
        <v>#REF!</v>
      </c>
      <c r="AN234" s="10">
        <f t="shared" si="3"/>
        <v>0</v>
      </c>
    </row>
    <row r="235" spans="1:40" x14ac:dyDescent="0.25">
      <c r="A235" s="6" t="str">
        <f>IF(IFERROR(VLOOKUP($C235,#REF!,2,0),$C235)="Accion",CONCATENATE(IFERROR(VLOOKUP($C235,#REF!,2,0),$C235)," - ",E235),IFERROR(VLOOKUP($C235,#REF!,2,0),$C235))</f>
        <v>CWT US, LLC</v>
      </c>
      <c r="B235" s="9" t="s">
        <v>928</v>
      </c>
      <c r="C235" s="1" t="s">
        <v>121</v>
      </c>
      <c r="D235" s="1" t="s">
        <v>929</v>
      </c>
      <c r="E235" s="9" t="s">
        <v>62</v>
      </c>
      <c r="F235" s="9" t="s">
        <v>241</v>
      </c>
      <c r="G235" s="9" t="s">
        <v>263</v>
      </c>
      <c r="H235" s="63">
        <v>0</v>
      </c>
      <c r="I235" s="63">
        <v>0</v>
      </c>
      <c r="J235" s="63">
        <v>0</v>
      </c>
      <c r="K235" s="63">
        <v>0</v>
      </c>
      <c r="L235" s="63">
        <v>0</v>
      </c>
      <c r="M235" s="63">
        <v>0</v>
      </c>
      <c r="N235" s="63">
        <v>0</v>
      </c>
      <c r="O235" s="63">
        <v>0</v>
      </c>
      <c r="P235" s="63">
        <v>0</v>
      </c>
      <c r="Q235" s="63">
        <v>0</v>
      </c>
      <c r="R235" s="63">
        <v>0</v>
      </c>
      <c r="S235" s="63">
        <v>0</v>
      </c>
      <c r="T235" s="63">
        <v>0</v>
      </c>
      <c r="U235" s="63"/>
      <c r="V235" s="1"/>
      <c r="W235" s="6"/>
      <c r="X235" s="6"/>
      <c r="Y235" s="6"/>
      <c r="Z235" s="6"/>
      <c r="AA235" s="6"/>
      <c r="AB235" s="6" t="s">
        <v>928</v>
      </c>
      <c r="AC235" s="6" t="s">
        <v>265</v>
      </c>
      <c r="AD235" s="6"/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M235" s="6" t="e">
        <f>_xlfn.XLOOKUP($C235,#REF!,#REF!,"-",0)</f>
        <v>#REF!</v>
      </c>
      <c r="AN235" s="10">
        <f t="shared" si="3"/>
        <v>0</v>
      </c>
    </row>
    <row r="236" spans="1:40" x14ac:dyDescent="0.25">
      <c r="A236" s="6" t="str">
        <f>IF(IFERROR(VLOOKUP($C236,#REF!,2,0),$C236)="Accion",CONCATENATE(IFERROR(VLOOKUP($C236,#REF!,2,0),$C236)," - ",E236),IFERROR(VLOOKUP($C236,#REF!,2,0),$C236))</f>
        <v>CWT US, LLC</v>
      </c>
      <c r="B236" s="9" t="s">
        <v>930</v>
      </c>
      <c r="C236" s="1" t="s">
        <v>121</v>
      </c>
      <c r="D236" s="1" t="s">
        <v>931</v>
      </c>
      <c r="E236" s="9" t="s">
        <v>62</v>
      </c>
      <c r="F236" s="9" t="s">
        <v>241</v>
      </c>
      <c r="G236" s="9" t="s">
        <v>263</v>
      </c>
      <c r="H236" s="63">
        <v>0</v>
      </c>
      <c r="I236" s="63">
        <v>0</v>
      </c>
      <c r="J236" s="63">
        <v>0</v>
      </c>
      <c r="K236" s="63">
        <v>0</v>
      </c>
      <c r="L236" s="63">
        <v>0</v>
      </c>
      <c r="M236" s="63">
        <v>0</v>
      </c>
      <c r="N236" s="63">
        <v>0</v>
      </c>
      <c r="O236" s="63">
        <v>0</v>
      </c>
      <c r="P236" s="63">
        <v>0</v>
      </c>
      <c r="Q236" s="63">
        <v>0</v>
      </c>
      <c r="R236" s="63">
        <v>0</v>
      </c>
      <c r="S236" s="63">
        <v>0</v>
      </c>
      <c r="T236" s="63">
        <v>0</v>
      </c>
      <c r="U236" s="63"/>
      <c r="V236" s="1"/>
      <c r="W236" s="6"/>
      <c r="X236" s="6"/>
      <c r="Y236" s="6"/>
      <c r="Z236" s="6"/>
      <c r="AA236" s="6"/>
      <c r="AB236" s="6" t="s">
        <v>930</v>
      </c>
      <c r="AC236" s="6" t="s">
        <v>265</v>
      </c>
      <c r="AD236" s="6"/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M236" s="6" t="e">
        <f>_xlfn.XLOOKUP($C236,#REF!,#REF!,"-",0)</f>
        <v>#REF!</v>
      </c>
      <c r="AN236" s="10">
        <f t="shared" si="3"/>
        <v>0</v>
      </c>
    </row>
    <row r="237" spans="1:40" x14ac:dyDescent="0.25">
      <c r="A237" s="6" t="str">
        <f>IF(IFERROR(VLOOKUP($C237,#REF!,2,0),$C237)="Accion",CONCATENATE(IFERROR(VLOOKUP($C237,#REF!,2,0),$C237)," - ",E237),IFERROR(VLOOKUP($C237,#REF!,2,0),$C237))</f>
        <v>CWT US, LLC</v>
      </c>
      <c r="B237" s="9" t="s">
        <v>932</v>
      </c>
      <c r="C237" s="1" t="s">
        <v>121</v>
      </c>
      <c r="D237" s="1" t="s">
        <v>933</v>
      </c>
      <c r="E237" s="9" t="s">
        <v>62</v>
      </c>
      <c r="F237" s="9" t="s">
        <v>241</v>
      </c>
      <c r="G237" s="9" t="s">
        <v>263</v>
      </c>
      <c r="H237" s="63">
        <v>0</v>
      </c>
      <c r="I237" s="63">
        <v>0</v>
      </c>
      <c r="J237" s="63">
        <v>0</v>
      </c>
      <c r="K237" s="63">
        <v>0</v>
      </c>
      <c r="L237" s="63">
        <v>0</v>
      </c>
      <c r="M237" s="63">
        <v>0</v>
      </c>
      <c r="N237" s="63">
        <v>0</v>
      </c>
      <c r="O237" s="63">
        <v>0</v>
      </c>
      <c r="P237" s="63">
        <v>0</v>
      </c>
      <c r="Q237" s="63">
        <v>0</v>
      </c>
      <c r="R237" s="63">
        <v>0</v>
      </c>
      <c r="S237" s="63">
        <v>0</v>
      </c>
      <c r="T237" s="63">
        <v>0</v>
      </c>
      <c r="U237" s="63"/>
      <c r="V237" s="1"/>
      <c r="W237" s="6"/>
      <c r="X237" s="6"/>
      <c r="Y237" s="6"/>
      <c r="Z237" s="6"/>
      <c r="AA237" s="6"/>
      <c r="AB237" s="6" t="s">
        <v>932</v>
      </c>
      <c r="AC237" s="6" t="s">
        <v>265</v>
      </c>
      <c r="AD237" s="6"/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M237" s="6" t="e">
        <f>_xlfn.XLOOKUP($C237,#REF!,#REF!,"-",0)</f>
        <v>#REF!</v>
      </c>
      <c r="AN237" s="10">
        <f t="shared" si="3"/>
        <v>0</v>
      </c>
    </row>
    <row r="238" spans="1:40" x14ac:dyDescent="0.25">
      <c r="A238" s="6" t="str">
        <f>IF(IFERROR(VLOOKUP($C238,#REF!,2,0),$C238)="Accion",CONCATENATE(IFERROR(VLOOKUP($C238,#REF!,2,0),$C238)," - ",E238),IFERROR(VLOOKUP($C238,#REF!,2,0),$C238))</f>
        <v>Rockwell Automation, Inc.</v>
      </c>
      <c r="B238" s="9" t="s">
        <v>560</v>
      </c>
      <c r="C238" s="1" t="s">
        <v>108</v>
      </c>
      <c r="D238" s="1" t="s">
        <v>561</v>
      </c>
      <c r="E238" s="9" t="s">
        <v>62</v>
      </c>
      <c r="F238" s="9" t="s">
        <v>241</v>
      </c>
      <c r="G238" s="9" t="s">
        <v>263</v>
      </c>
      <c r="H238" s="63">
        <v>0</v>
      </c>
      <c r="I238" s="63">
        <v>0</v>
      </c>
      <c r="J238" s="63">
        <v>0</v>
      </c>
      <c r="K238" s="63">
        <v>0</v>
      </c>
      <c r="L238" s="63">
        <v>0</v>
      </c>
      <c r="M238" s="63">
        <v>0</v>
      </c>
      <c r="N238" s="63">
        <v>0</v>
      </c>
      <c r="O238" s="63">
        <v>0</v>
      </c>
      <c r="P238" s="63">
        <v>0</v>
      </c>
      <c r="Q238" s="63">
        <v>0</v>
      </c>
      <c r="R238" s="63">
        <v>0</v>
      </c>
      <c r="S238" s="63">
        <v>0</v>
      </c>
      <c r="T238" s="63">
        <v>0</v>
      </c>
      <c r="U238" s="63"/>
      <c r="V238" s="1"/>
      <c r="W238" s="6"/>
      <c r="X238" s="6"/>
      <c r="Y238" s="6"/>
      <c r="Z238" s="6"/>
      <c r="AA238" s="6"/>
      <c r="AB238" s="6" t="s">
        <v>560</v>
      </c>
      <c r="AC238" s="6" t="s">
        <v>265</v>
      </c>
      <c r="AD238" s="6"/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M238" s="6" t="e">
        <f>_xlfn.XLOOKUP($C238,#REF!,#REF!,"-",0)</f>
        <v>#REF!</v>
      </c>
      <c r="AN238" s="10">
        <f t="shared" si="3"/>
        <v>0</v>
      </c>
    </row>
    <row r="239" spans="1:40" x14ac:dyDescent="0.25">
      <c r="A239" s="6" t="str">
        <f>IF(IFERROR(VLOOKUP($C239,#REF!,2,0),$C239)="Accion",CONCATENATE(IFERROR(VLOOKUP($C239,#REF!,2,0),$C239)," - ",E239),IFERROR(VLOOKUP($C239,#REF!,2,0),$C239))</f>
        <v>Siemens Technology and Services Pvt Ltd</v>
      </c>
      <c r="B239" s="9" t="s">
        <v>552</v>
      </c>
      <c r="C239" s="1" t="s">
        <v>192</v>
      </c>
      <c r="D239" s="1" t="s">
        <v>553</v>
      </c>
      <c r="E239" s="9" t="s">
        <v>62</v>
      </c>
      <c r="F239" s="9" t="s">
        <v>243</v>
      </c>
      <c r="G239" s="9" t="s">
        <v>263</v>
      </c>
      <c r="H239" s="63">
        <v>0</v>
      </c>
      <c r="I239" s="63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0</v>
      </c>
      <c r="P239" s="63">
        <v>0</v>
      </c>
      <c r="Q239" s="63">
        <v>0</v>
      </c>
      <c r="R239" s="63">
        <v>0</v>
      </c>
      <c r="S239" s="63">
        <v>0</v>
      </c>
      <c r="T239" s="63">
        <v>0</v>
      </c>
      <c r="U239" s="63"/>
      <c r="V239" s="1"/>
      <c r="W239" s="6"/>
      <c r="X239" s="6"/>
      <c r="Y239" s="6"/>
      <c r="Z239" s="6"/>
      <c r="AA239" s="6"/>
      <c r="AB239" s="6" t="s">
        <v>552</v>
      </c>
      <c r="AC239" s="6" t="s">
        <v>266</v>
      </c>
      <c r="AD239" s="6"/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M239" s="6" t="e">
        <f>_xlfn.XLOOKUP($C239,#REF!,#REF!,"-",0)</f>
        <v>#REF!</v>
      </c>
      <c r="AN239" s="10">
        <f t="shared" si="3"/>
        <v>0</v>
      </c>
    </row>
    <row r="240" spans="1:40" x14ac:dyDescent="0.25">
      <c r="A240" s="6" t="str">
        <f>IF(IFERROR(VLOOKUP($C240,#REF!,2,0),$C240)="Accion",CONCATENATE(IFERROR(VLOOKUP($C240,#REF!,2,0),$C240)," - ",E240),IFERROR(VLOOKUP($C240,#REF!,2,0),$C240))</f>
        <v>Siemens Technology and Services Pvt Ltd</v>
      </c>
      <c r="B240" s="9" t="s">
        <v>554</v>
      </c>
      <c r="C240" s="1" t="s">
        <v>192</v>
      </c>
      <c r="D240" s="1" t="s">
        <v>555</v>
      </c>
      <c r="E240" s="9" t="s">
        <v>62</v>
      </c>
      <c r="F240" s="9" t="s">
        <v>243</v>
      </c>
      <c r="G240" s="9" t="s">
        <v>263</v>
      </c>
      <c r="H240" s="63">
        <v>0</v>
      </c>
      <c r="I240" s="63">
        <v>0</v>
      </c>
      <c r="J240" s="63">
        <v>0</v>
      </c>
      <c r="K240" s="63">
        <v>0</v>
      </c>
      <c r="L240" s="63">
        <v>0</v>
      </c>
      <c r="M240" s="63">
        <v>0</v>
      </c>
      <c r="N240" s="63">
        <v>0</v>
      </c>
      <c r="O240" s="63">
        <v>0</v>
      </c>
      <c r="P240" s="63">
        <v>0</v>
      </c>
      <c r="Q240" s="63">
        <v>0</v>
      </c>
      <c r="R240" s="63">
        <v>0</v>
      </c>
      <c r="S240" s="63">
        <v>0</v>
      </c>
      <c r="T240" s="63">
        <v>0</v>
      </c>
      <c r="U240" s="63"/>
      <c r="V240" s="1"/>
      <c r="W240" s="6"/>
      <c r="X240" s="6"/>
      <c r="Y240" s="6"/>
      <c r="Z240" s="6"/>
      <c r="AA240" s="6"/>
      <c r="AB240" s="6" t="s">
        <v>554</v>
      </c>
      <c r="AC240" s="6" t="s">
        <v>266</v>
      </c>
      <c r="AD240" s="6"/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M240" s="6" t="e">
        <f>_xlfn.XLOOKUP($C240,#REF!,#REF!,"-",0)</f>
        <v>#REF!</v>
      </c>
      <c r="AN240" s="10">
        <f t="shared" si="3"/>
        <v>0</v>
      </c>
    </row>
    <row r="241" spans="1:40" x14ac:dyDescent="0.25">
      <c r="A241" s="6" t="str">
        <f>IF(IFERROR(VLOOKUP($C241,#REF!,2,0),$C241)="Accion",CONCATENATE(IFERROR(VLOOKUP($C241,#REF!,2,0),$C241)," - ",E241),IFERROR(VLOOKUP($C241,#REF!,2,0),$C241))</f>
        <v>Vida Bank Ltd.</v>
      </c>
      <c r="B241" s="9" t="s">
        <v>556</v>
      </c>
      <c r="C241" s="1" t="s">
        <v>934</v>
      </c>
      <c r="D241" s="1" t="s">
        <v>557</v>
      </c>
      <c r="E241" s="9" t="s">
        <v>62</v>
      </c>
      <c r="F241" s="9" t="s">
        <v>238</v>
      </c>
      <c r="G241" s="9" t="s">
        <v>263</v>
      </c>
      <c r="H241" s="63">
        <v>0</v>
      </c>
      <c r="I241" s="63">
        <v>0</v>
      </c>
      <c r="J241" s="63">
        <v>0</v>
      </c>
      <c r="K241" s="63">
        <v>0</v>
      </c>
      <c r="L241" s="63">
        <v>0</v>
      </c>
      <c r="M241" s="63">
        <v>0</v>
      </c>
      <c r="N241" s="63">
        <v>0</v>
      </c>
      <c r="O241" s="63">
        <v>0</v>
      </c>
      <c r="P241" s="63">
        <v>0</v>
      </c>
      <c r="Q241" s="63">
        <v>0</v>
      </c>
      <c r="R241" s="63">
        <v>0</v>
      </c>
      <c r="S241" s="63">
        <v>0</v>
      </c>
      <c r="T241" s="63">
        <v>0</v>
      </c>
      <c r="U241" s="63"/>
      <c r="V241" s="1"/>
      <c r="W241" s="6"/>
      <c r="X241" s="6"/>
      <c r="Y241" s="6"/>
      <c r="Z241" s="6"/>
      <c r="AA241" s="6"/>
      <c r="AB241" s="6" t="s">
        <v>556</v>
      </c>
      <c r="AC241" s="6" t="s">
        <v>264</v>
      </c>
      <c r="AD241" s="6"/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M241" s="6" t="e">
        <f>_xlfn.XLOOKUP($C241,#REF!,#REF!,"-",0)</f>
        <v>#REF!</v>
      </c>
      <c r="AN241" s="10">
        <f t="shared" si="3"/>
        <v>0</v>
      </c>
    </row>
    <row r="242" spans="1:40" x14ac:dyDescent="0.25">
      <c r="A242" s="6" t="str">
        <f>IF(IFERROR(VLOOKUP($C242,#REF!,2,0),$C242)="Accion",CONCATENATE(IFERROR(VLOOKUP($C242,#REF!,2,0),$C242)," - ",E242),IFERROR(VLOOKUP($C242,#REF!,2,0),$C242))</f>
        <v>Bayer Science And Innovation Private Limited</v>
      </c>
      <c r="B242" s="9" t="s">
        <v>935</v>
      </c>
      <c r="C242" s="1" t="s">
        <v>162</v>
      </c>
      <c r="D242" s="1" t="s">
        <v>936</v>
      </c>
      <c r="E242" s="9" t="s">
        <v>62</v>
      </c>
      <c r="F242" s="9" t="s">
        <v>243</v>
      </c>
      <c r="G242" s="9" t="s">
        <v>263</v>
      </c>
      <c r="H242" s="63">
        <v>0</v>
      </c>
      <c r="I242" s="63">
        <v>0</v>
      </c>
      <c r="J242" s="63">
        <v>0</v>
      </c>
      <c r="K242" s="63">
        <v>0</v>
      </c>
      <c r="L242" s="63">
        <v>0</v>
      </c>
      <c r="M242" s="63">
        <v>0</v>
      </c>
      <c r="N242" s="63">
        <v>0</v>
      </c>
      <c r="O242" s="63">
        <v>0</v>
      </c>
      <c r="P242" s="63">
        <v>0</v>
      </c>
      <c r="Q242" s="63">
        <v>0</v>
      </c>
      <c r="R242" s="63">
        <v>0</v>
      </c>
      <c r="S242" s="63">
        <v>0</v>
      </c>
      <c r="T242" s="63">
        <v>0</v>
      </c>
      <c r="U242" s="63"/>
      <c r="V242" s="1"/>
      <c r="W242" s="6"/>
      <c r="X242" s="6"/>
      <c r="Y242" s="6"/>
      <c r="Z242" s="6"/>
      <c r="AA242" s="6"/>
      <c r="AB242" s="6" t="s">
        <v>935</v>
      </c>
      <c r="AC242" s="6" t="s">
        <v>266</v>
      </c>
      <c r="AD242" s="6"/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M242" s="6" t="e">
        <f>_xlfn.XLOOKUP($C242,#REF!,#REF!,"-",0)</f>
        <v>#REF!</v>
      </c>
      <c r="AN242" s="10">
        <f t="shared" si="3"/>
        <v>0</v>
      </c>
    </row>
    <row r="243" spans="1:40" x14ac:dyDescent="0.25">
      <c r="A243" s="6" t="str">
        <f>IF(IFERROR(VLOOKUP($C243,#REF!,2,0),$C243)="Accion",CONCATENATE(IFERROR(VLOOKUP($C243,#REF!,2,0),$C243)," - ",E243),IFERROR(VLOOKUP($C243,#REF!,2,0),$C243))</f>
        <v>TALUTION GROUP, LLC.</v>
      </c>
      <c r="B243" s="9" t="s">
        <v>523</v>
      </c>
      <c r="C243" s="1" t="s">
        <v>132</v>
      </c>
      <c r="D243" s="1" t="s">
        <v>524</v>
      </c>
      <c r="E243" s="9" t="s">
        <v>66</v>
      </c>
      <c r="F243" s="9" t="s">
        <v>241</v>
      </c>
      <c r="G243" s="9" t="s">
        <v>263</v>
      </c>
      <c r="H243" s="63">
        <v>0</v>
      </c>
      <c r="I243" s="63">
        <v>0</v>
      </c>
      <c r="J243" s="63">
        <v>0</v>
      </c>
      <c r="K243" s="63">
        <v>0</v>
      </c>
      <c r="L243" s="63">
        <v>0</v>
      </c>
      <c r="M243" s="63">
        <v>0</v>
      </c>
      <c r="N243" s="63">
        <v>0</v>
      </c>
      <c r="O243" s="63">
        <v>0</v>
      </c>
      <c r="P243" s="63">
        <v>0</v>
      </c>
      <c r="Q243" s="63">
        <v>0</v>
      </c>
      <c r="R243" s="63">
        <v>0</v>
      </c>
      <c r="S243" s="63">
        <v>0</v>
      </c>
      <c r="T243" s="63">
        <v>0</v>
      </c>
      <c r="U243" s="63"/>
      <c r="V243" s="1"/>
      <c r="W243" s="6"/>
      <c r="X243" s="6"/>
      <c r="Y243" s="6"/>
      <c r="Z243" s="6"/>
      <c r="AA243" s="6"/>
      <c r="AB243" s="6" t="s">
        <v>523</v>
      </c>
      <c r="AC243" s="6" t="s">
        <v>265</v>
      </c>
      <c r="AD243" s="6"/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M243" s="6" t="e">
        <f>_xlfn.XLOOKUP($C243,#REF!,#REF!,"-",0)</f>
        <v>#REF!</v>
      </c>
      <c r="AN243" s="10">
        <f t="shared" si="3"/>
        <v>0</v>
      </c>
    </row>
    <row r="244" spans="1:40" x14ac:dyDescent="0.25">
      <c r="A244" s="6" t="str">
        <f>IF(IFERROR(VLOOKUP($C244,#REF!,2,0),$C244)="Accion",CONCATENATE(IFERROR(VLOOKUP($C244,#REF!,2,0),$C244)," - ",E244),IFERROR(VLOOKUP($C244,#REF!,2,0),$C244))</f>
        <v>ABS Professional Services (India) Private Limited</v>
      </c>
      <c r="B244" s="9" t="s">
        <v>513</v>
      </c>
      <c r="C244" s="1" t="s">
        <v>511</v>
      </c>
      <c r="D244" s="1" t="s">
        <v>514</v>
      </c>
      <c r="E244" s="9" t="s">
        <v>62</v>
      </c>
      <c r="F244" s="9" t="s">
        <v>243</v>
      </c>
      <c r="G244" s="9" t="s">
        <v>263</v>
      </c>
      <c r="H244" s="63">
        <v>0</v>
      </c>
      <c r="I244" s="63">
        <v>0</v>
      </c>
      <c r="J244" s="63">
        <v>0</v>
      </c>
      <c r="K244" s="63">
        <v>0</v>
      </c>
      <c r="L244" s="63">
        <v>0</v>
      </c>
      <c r="M244" s="63">
        <v>0</v>
      </c>
      <c r="N244" s="63">
        <v>0</v>
      </c>
      <c r="O244" s="63">
        <v>0</v>
      </c>
      <c r="P244" s="63">
        <v>0</v>
      </c>
      <c r="Q244" s="63">
        <v>0</v>
      </c>
      <c r="R244" s="63">
        <v>0</v>
      </c>
      <c r="S244" s="63">
        <v>0</v>
      </c>
      <c r="T244" s="63">
        <v>0</v>
      </c>
      <c r="U244" s="63"/>
      <c r="V244" s="1"/>
      <c r="W244" s="6"/>
      <c r="X244" s="6"/>
      <c r="Y244" s="6"/>
      <c r="Z244" s="6"/>
      <c r="AA244" s="6"/>
      <c r="AB244" s="6" t="s">
        <v>513</v>
      </c>
      <c r="AC244" s="6" t="s">
        <v>266</v>
      </c>
      <c r="AD244" s="6"/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M244" s="6" t="e">
        <f>_xlfn.XLOOKUP($C244,#REF!,#REF!,"-",0)</f>
        <v>#REF!</v>
      </c>
      <c r="AN244" s="10">
        <f t="shared" si="3"/>
        <v>0</v>
      </c>
    </row>
    <row r="245" spans="1:40" x14ac:dyDescent="0.25">
      <c r="A245" s="6" t="str">
        <f>IF(IFERROR(VLOOKUP($C245,#REF!,2,0),$C245)="Accion",CONCATENATE(IFERROR(VLOOKUP($C245,#REF!,2,0),$C245)," - ",E245),IFERROR(VLOOKUP($C245,#REF!,2,0),$C245))</f>
        <v>Sears IT &amp; Manag Services India Private Limit</v>
      </c>
      <c r="B245" s="9" t="s">
        <v>490</v>
      </c>
      <c r="C245" s="1" t="s">
        <v>115</v>
      </c>
      <c r="D245" s="1" t="s">
        <v>491</v>
      </c>
      <c r="E245" s="9" t="s">
        <v>62</v>
      </c>
      <c r="F245" s="9" t="s">
        <v>243</v>
      </c>
      <c r="G245" s="9" t="s">
        <v>263</v>
      </c>
      <c r="H245" s="63">
        <v>0</v>
      </c>
      <c r="I245" s="63">
        <v>0</v>
      </c>
      <c r="J245" s="63">
        <v>0</v>
      </c>
      <c r="K245" s="63">
        <v>0</v>
      </c>
      <c r="L245" s="63">
        <v>0</v>
      </c>
      <c r="M245" s="63">
        <v>0</v>
      </c>
      <c r="N245" s="63">
        <v>0</v>
      </c>
      <c r="O245" s="63">
        <v>0</v>
      </c>
      <c r="P245" s="63">
        <v>0</v>
      </c>
      <c r="Q245" s="63">
        <v>0</v>
      </c>
      <c r="R245" s="63">
        <v>0</v>
      </c>
      <c r="S245" s="63">
        <v>0</v>
      </c>
      <c r="T245" s="63">
        <v>0</v>
      </c>
      <c r="U245" s="63"/>
      <c r="V245" s="1"/>
      <c r="W245" s="6"/>
      <c r="X245" s="6"/>
      <c r="Y245" s="6"/>
      <c r="Z245" s="6"/>
      <c r="AA245" s="6"/>
      <c r="AB245" s="6" t="s">
        <v>490</v>
      </c>
      <c r="AC245" s="6" t="s">
        <v>266</v>
      </c>
      <c r="AD245" s="6"/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M245" s="6" t="e">
        <f>_xlfn.XLOOKUP($C245,#REF!,#REF!,"-",0)</f>
        <v>#REF!</v>
      </c>
      <c r="AN245" s="10">
        <f t="shared" si="3"/>
        <v>0</v>
      </c>
    </row>
    <row r="246" spans="1:40" x14ac:dyDescent="0.25">
      <c r="A246" s="6" t="str">
        <f>IF(IFERROR(VLOOKUP($C246,#REF!,2,0),$C246)="Accion",CONCATENATE(IFERROR(VLOOKUP($C246,#REF!,2,0),$C246)," - ",E246),IFERROR(VLOOKUP($C246,#REF!,2,0),$C246))</f>
        <v>Rockwell Automation, Inc.</v>
      </c>
      <c r="B246" s="9" t="s">
        <v>473</v>
      </c>
      <c r="C246" s="1" t="s">
        <v>108</v>
      </c>
      <c r="D246" s="1" t="s">
        <v>474</v>
      </c>
      <c r="E246" s="9" t="s">
        <v>62</v>
      </c>
      <c r="F246" s="9" t="s">
        <v>241</v>
      </c>
      <c r="G246" s="9" t="s">
        <v>263</v>
      </c>
      <c r="H246" s="63">
        <v>0</v>
      </c>
      <c r="I246" s="63">
        <v>0</v>
      </c>
      <c r="J246" s="63">
        <v>0</v>
      </c>
      <c r="K246" s="63">
        <v>0</v>
      </c>
      <c r="L246" s="63">
        <v>0</v>
      </c>
      <c r="M246" s="63">
        <v>0</v>
      </c>
      <c r="N246" s="63">
        <v>0</v>
      </c>
      <c r="O246" s="63">
        <v>0</v>
      </c>
      <c r="P246" s="63">
        <v>0</v>
      </c>
      <c r="Q246" s="63">
        <v>0</v>
      </c>
      <c r="R246" s="63">
        <v>0</v>
      </c>
      <c r="S246" s="63">
        <v>0</v>
      </c>
      <c r="T246" s="63">
        <v>0</v>
      </c>
      <c r="U246" s="63"/>
      <c r="V246" s="1"/>
      <c r="W246" s="6"/>
      <c r="X246" s="6"/>
      <c r="Y246" s="6"/>
      <c r="Z246" s="6"/>
      <c r="AA246" s="6"/>
      <c r="AB246" s="6" t="s">
        <v>473</v>
      </c>
      <c r="AC246" s="6" t="s">
        <v>265</v>
      </c>
      <c r="AD246" s="6"/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M246" s="6" t="e">
        <f>_xlfn.XLOOKUP($C246,#REF!,#REF!,"-",0)</f>
        <v>#REF!</v>
      </c>
      <c r="AN246" s="10">
        <f t="shared" si="3"/>
        <v>0</v>
      </c>
    </row>
    <row r="247" spans="1:40" x14ac:dyDescent="0.25">
      <c r="A247" s="6" t="str">
        <f>IF(IFERROR(VLOOKUP($C247,#REF!,2,0),$C247)="Accion",CONCATENATE(IFERROR(VLOOKUP($C247,#REF!,2,0),$C247)," - ",E247),IFERROR(VLOOKUP($C247,#REF!,2,0),$C247))</f>
        <v>Rockwell Automation, Inc.</v>
      </c>
      <c r="B247" s="9" t="s">
        <v>475</v>
      </c>
      <c r="C247" s="1" t="s">
        <v>108</v>
      </c>
      <c r="D247" s="1" t="s">
        <v>476</v>
      </c>
      <c r="E247" s="9" t="s">
        <v>62</v>
      </c>
      <c r="F247" s="9" t="s">
        <v>241</v>
      </c>
      <c r="G247" s="9" t="s">
        <v>263</v>
      </c>
      <c r="H247" s="63">
        <v>0</v>
      </c>
      <c r="I247" s="63">
        <v>0</v>
      </c>
      <c r="J247" s="63">
        <v>0</v>
      </c>
      <c r="K247" s="63">
        <v>0</v>
      </c>
      <c r="L247" s="63">
        <v>0</v>
      </c>
      <c r="M247" s="63">
        <v>0</v>
      </c>
      <c r="N247" s="63">
        <v>0</v>
      </c>
      <c r="O247" s="63">
        <v>0</v>
      </c>
      <c r="P247" s="63">
        <v>0</v>
      </c>
      <c r="Q247" s="63">
        <v>0</v>
      </c>
      <c r="R247" s="63">
        <v>0</v>
      </c>
      <c r="S247" s="63">
        <v>0</v>
      </c>
      <c r="T247" s="63">
        <v>0</v>
      </c>
      <c r="U247" s="63"/>
      <c r="V247" s="1"/>
      <c r="W247" s="6"/>
      <c r="X247" s="6"/>
      <c r="Y247" s="6"/>
      <c r="Z247" s="6"/>
      <c r="AA247" s="6"/>
      <c r="AB247" s="6" t="s">
        <v>475</v>
      </c>
      <c r="AC247" s="6" t="s">
        <v>265</v>
      </c>
      <c r="AD247" s="6"/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M247" s="6" t="e">
        <f>_xlfn.XLOOKUP($C247,#REF!,#REF!,"-",0)</f>
        <v>#REF!</v>
      </c>
      <c r="AN247" s="10">
        <f t="shared" si="3"/>
        <v>0</v>
      </c>
    </row>
    <row r="248" spans="1:40" x14ac:dyDescent="0.25">
      <c r="A248" s="6" t="str">
        <f>IF(IFERROR(VLOOKUP($C248,#REF!,2,0),$C248)="Accion",CONCATENATE(IFERROR(VLOOKUP($C248,#REF!,2,0),$C248)," - ",E248),IFERROR(VLOOKUP($C248,#REF!,2,0),$C248))</f>
        <v>International Atomic Energy Agency</v>
      </c>
      <c r="B248" s="9" t="s">
        <v>453</v>
      </c>
      <c r="C248" s="1" t="s">
        <v>84</v>
      </c>
      <c r="D248" s="1" t="s">
        <v>454</v>
      </c>
      <c r="E248" s="9" t="s">
        <v>66</v>
      </c>
      <c r="F248" s="9" t="s">
        <v>238</v>
      </c>
      <c r="G248" s="9" t="s">
        <v>263</v>
      </c>
      <c r="H248" s="63">
        <v>0</v>
      </c>
      <c r="I248" s="63">
        <v>0</v>
      </c>
      <c r="J248" s="63">
        <v>0</v>
      </c>
      <c r="K248" s="63">
        <v>0</v>
      </c>
      <c r="L248" s="63">
        <v>0</v>
      </c>
      <c r="M248" s="63">
        <v>0</v>
      </c>
      <c r="N248" s="63">
        <v>0</v>
      </c>
      <c r="O248" s="63">
        <v>0</v>
      </c>
      <c r="P248" s="63">
        <v>0</v>
      </c>
      <c r="Q248" s="63">
        <v>0</v>
      </c>
      <c r="R248" s="63">
        <v>0</v>
      </c>
      <c r="S248" s="63">
        <v>0</v>
      </c>
      <c r="T248" s="63">
        <v>0</v>
      </c>
      <c r="U248" s="63"/>
      <c r="V248" s="1"/>
      <c r="W248" s="6"/>
      <c r="X248" s="6"/>
      <c r="Y248" s="6"/>
      <c r="Z248" s="6"/>
      <c r="AA248" s="6"/>
      <c r="AB248" s="6" t="s">
        <v>453</v>
      </c>
      <c r="AC248" s="6" t="s">
        <v>264</v>
      </c>
      <c r="AD248" s="6"/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M248" s="6" t="e">
        <f>_xlfn.XLOOKUP($C248,#REF!,#REF!,"-",0)</f>
        <v>#REF!</v>
      </c>
      <c r="AN248" s="10">
        <f t="shared" si="3"/>
        <v>0</v>
      </c>
    </row>
    <row r="249" spans="1:40" x14ac:dyDescent="0.25">
      <c r="A249" s="6" t="str">
        <f>IF(IFERROR(VLOOKUP($C249,#REF!,2,0),$C249)="Accion",CONCATENATE(IFERROR(VLOOKUP($C249,#REF!,2,0),$C249)," - ",E249),IFERROR(VLOOKUP($C249,#REF!,2,0),$C249))</f>
        <v>Model N India Software Private Limited</v>
      </c>
      <c r="B249" s="9" t="s">
        <v>455</v>
      </c>
      <c r="C249" s="1" t="s">
        <v>456</v>
      </c>
      <c r="D249" s="1" t="s">
        <v>457</v>
      </c>
      <c r="E249" s="9" t="s">
        <v>62</v>
      </c>
      <c r="F249" s="9" t="s">
        <v>243</v>
      </c>
      <c r="G249" s="9" t="s">
        <v>263</v>
      </c>
      <c r="H249" s="63">
        <v>0</v>
      </c>
      <c r="I249" s="63">
        <v>0</v>
      </c>
      <c r="J249" s="63">
        <v>0</v>
      </c>
      <c r="K249" s="63">
        <v>0</v>
      </c>
      <c r="L249" s="63">
        <v>0</v>
      </c>
      <c r="M249" s="63">
        <v>0</v>
      </c>
      <c r="N249" s="63">
        <v>0</v>
      </c>
      <c r="O249" s="63">
        <v>0</v>
      </c>
      <c r="P249" s="63">
        <v>0</v>
      </c>
      <c r="Q249" s="63">
        <v>0</v>
      </c>
      <c r="R249" s="63">
        <v>0</v>
      </c>
      <c r="S249" s="63">
        <v>0</v>
      </c>
      <c r="T249" s="63">
        <v>0</v>
      </c>
      <c r="U249" s="63"/>
      <c r="V249" s="1"/>
      <c r="W249" s="6"/>
      <c r="X249" s="6"/>
      <c r="Y249" s="6"/>
      <c r="Z249" s="6"/>
      <c r="AA249" s="6"/>
      <c r="AB249" s="6" t="s">
        <v>455</v>
      </c>
      <c r="AC249" s="6" t="s">
        <v>266</v>
      </c>
      <c r="AD249" s="6"/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M249" s="6" t="e">
        <f>_xlfn.XLOOKUP($C249,#REF!,#REF!,"-",0)</f>
        <v>#REF!</v>
      </c>
      <c r="AN249" s="10">
        <f t="shared" si="3"/>
        <v>0</v>
      </c>
    </row>
    <row r="250" spans="1:40" x14ac:dyDescent="0.25">
      <c r="A250" s="6" t="str">
        <f>IF(IFERROR(VLOOKUP($C250,#REF!,2,0),$C250)="Accion",CONCATENATE(IFERROR(VLOOKUP($C250,#REF!,2,0),$C250)," - ",E250),IFERROR(VLOOKUP($C250,#REF!,2,0),$C250))</f>
        <v>Lifeline Systech Solutions Pvt. Ltd</v>
      </c>
      <c r="B250" s="9" t="s">
        <v>414</v>
      </c>
      <c r="C250" s="1" t="s">
        <v>129</v>
      </c>
      <c r="D250" s="1" t="s">
        <v>415</v>
      </c>
      <c r="E250" s="9" t="s">
        <v>62</v>
      </c>
      <c r="F250" s="9" t="s">
        <v>243</v>
      </c>
      <c r="G250" s="9" t="s">
        <v>263</v>
      </c>
      <c r="H250" s="63">
        <v>0</v>
      </c>
      <c r="I250" s="63">
        <v>0</v>
      </c>
      <c r="J250" s="63">
        <v>0</v>
      </c>
      <c r="K250" s="63">
        <v>0</v>
      </c>
      <c r="L250" s="63">
        <v>0</v>
      </c>
      <c r="M250" s="63">
        <v>0</v>
      </c>
      <c r="N250" s="63">
        <v>0</v>
      </c>
      <c r="O250" s="63">
        <v>0</v>
      </c>
      <c r="P250" s="63">
        <v>0</v>
      </c>
      <c r="Q250" s="63">
        <v>0</v>
      </c>
      <c r="R250" s="63">
        <v>0</v>
      </c>
      <c r="S250" s="63">
        <v>0</v>
      </c>
      <c r="T250" s="63">
        <v>0</v>
      </c>
      <c r="U250" s="63"/>
      <c r="V250" s="1"/>
      <c r="W250" s="6"/>
      <c r="X250" s="6"/>
      <c r="Y250" s="6"/>
      <c r="Z250" s="6"/>
      <c r="AA250" s="6"/>
      <c r="AB250" s="6" t="s">
        <v>414</v>
      </c>
      <c r="AC250" s="6" t="s">
        <v>266</v>
      </c>
      <c r="AD250" s="6"/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M250" s="6" t="e">
        <f>_xlfn.XLOOKUP($C250,#REF!,#REF!,"-",0)</f>
        <v>#REF!</v>
      </c>
      <c r="AN250" s="10">
        <f t="shared" si="3"/>
        <v>0</v>
      </c>
    </row>
    <row r="251" spans="1:40" x14ac:dyDescent="0.25">
      <c r="A251" s="6" t="str">
        <f>IF(IFERROR(VLOOKUP($C251,#REF!,2,0),$C251)="Accion",CONCATENATE(IFERROR(VLOOKUP($C251,#REF!,2,0),$C251)," - ",E251),IFERROR(VLOOKUP($C251,#REF!,2,0),$C251))</f>
        <v>National Informatics Centre Services Incorporated (NICSI)</v>
      </c>
      <c r="B251" s="9" t="s">
        <v>395</v>
      </c>
      <c r="C251" s="1" t="s">
        <v>187</v>
      </c>
      <c r="D251" s="1" t="s">
        <v>396</v>
      </c>
      <c r="E251" s="9" t="s">
        <v>66</v>
      </c>
      <c r="F251" s="9" t="s">
        <v>243</v>
      </c>
      <c r="G251" s="9" t="s">
        <v>263</v>
      </c>
      <c r="H251" s="63">
        <v>0</v>
      </c>
      <c r="I251" s="63">
        <v>0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0</v>
      </c>
      <c r="P251" s="63">
        <v>0</v>
      </c>
      <c r="Q251" s="63">
        <v>0</v>
      </c>
      <c r="R251" s="63">
        <v>0</v>
      </c>
      <c r="S251" s="63">
        <v>0</v>
      </c>
      <c r="T251" s="63">
        <v>0</v>
      </c>
      <c r="U251" s="63"/>
      <c r="V251" s="1"/>
      <c r="W251" s="6"/>
      <c r="X251" s="6"/>
      <c r="Y251" s="6"/>
      <c r="Z251" s="6"/>
      <c r="AA251" s="6"/>
      <c r="AB251" s="6" t="s">
        <v>395</v>
      </c>
      <c r="AC251" s="6" t="s">
        <v>266</v>
      </c>
      <c r="AD251" s="6"/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M251" s="6" t="e">
        <f>_xlfn.XLOOKUP($C251,#REF!,#REF!,"-",0)</f>
        <v>#REF!</v>
      </c>
      <c r="AN251" s="10">
        <f t="shared" si="3"/>
        <v>0</v>
      </c>
    </row>
    <row r="252" spans="1:40" x14ac:dyDescent="0.25">
      <c r="A252" s="6" t="str">
        <f>IF(IFERROR(VLOOKUP($C252,#REF!,2,0),$C252)="Accion",CONCATENATE(IFERROR(VLOOKUP($C252,#REF!,2,0),$C252)," - ",E252),IFERROR(VLOOKUP($C252,#REF!,2,0),$C252))</f>
        <v>Accion Labs (UK) Ltd</v>
      </c>
      <c r="B252" s="9" t="s">
        <v>374</v>
      </c>
      <c r="C252" s="1" t="s">
        <v>152</v>
      </c>
      <c r="D252" s="1" t="s">
        <v>375</v>
      </c>
      <c r="E252" s="9" t="s">
        <v>66</v>
      </c>
      <c r="F252" s="9" t="s">
        <v>238</v>
      </c>
      <c r="G252" s="9" t="s">
        <v>263</v>
      </c>
      <c r="H252" s="63">
        <v>0</v>
      </c>
      <c r="I252" s="63">
        <v>0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v>0</v>
      </c>
      <c r="R252" s="63">
        <v>0</v>
      </c>
      <c r="S252" s="63">
        <v>0</v>
      </c>
      <c r="T252" s="63">
        <v>0</v>
      </c>
      <c r="U252" s="63"/>
      <c r="V252" s="1"/>
      <c r="W252" s="6"/>
      <c r="X252" s="6"/>
      <c r="Y252" s="6"/>
      <c r="Z252" s="6"/>
      <c r="AA252" s="6"/>
      <c r="AB252" s="6" t="s">
        <v>374</v>
      </c>
      <c r="AC252" s="6" t="s">
        <v>264</v>
      </c>
      <c r="AD252" s="6"/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M252" s="6" t="e">
        <f>_xlfn.XLOOKUP($C252,#REF!,#REF!,"-",0)</f>
        <v>#REF!</v>
      </c>
      <c r="AN252" s="10">
        <f t="shared" si="3"/>
        <v>0</v>
      </c>
    </row>
    <row r="253" spans="1:40" x14ac:dyDescent="0.25">
      <c r="A253" s="6" t="str">
        <f>IF(IFERROR(VLOOKUP($C253,#REF!,2,0),$C253)="Accion",CONCATENATE(IFERROR(VLOOKUP($C253,#REF!,2,0),$C253)," - ",E253),IFERROR(VLOOKUP($C253,#REF!,2,0),$C253))</f>
        <v>ACCION TECHNOLOGIES PRIVATE LIMITED</v>
      </c>
      <c r="B253" s="9" t="s">
        <v>214</v>
      </c>
      <c r="C253" s="1" t="s">
        <v>150</v>
      </c>
      <c r="D253" s="1" t="s">
        <v>60</v>
      </c>
      <c r="E253" s="9" t="s">
        <v>62</v>
      </c>
      <c r="F253" s="9" t="s">
        <v>243</v>
      </c>
      <c r="G253" s="9" t="s">
        <v>263</v>
      </c>
      <c r="H253" s="63">
        <v>0</v>
      </c>
      <c r="I253" s="63">
        <v>0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/>
      <c r="V253" s="1"/>
      <c r="W253" s="6"/>
      <c r="X253" s="6"/>
      <c r="Y253" s="6"/>
      <c r="Z253" s="6"/>
      <c r="AA253" s="6"/>
      <c r="AB253" s="6" t="s">
        <v>214</v>
      </c>
      <c r="AC253" s="6" t="s">
        <v>266</v>
      </c>
      <c r="AD253" s="6"/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M253" s="6" t="e">
        <f>_xlfn.XLOOKUP($C253,#REF!,#REF!,"-",0)</f>
        <v>#REF!</v>
      </c>
      <c r="AN253" s="10">
        <f t="shared" si="3"/>
        <v>0</v>
      </c>
    </row>
    <row r="254" spans="1:40" x14ac:dyDescent="0.25">
      <c r="A254" s="6" t="str">
        <f>IF(IFERROR(VLOOKUP($C254,#REF!,2,0),$C254)="Accion",CONCATENATE(IFERROR(VLOOKUP($C254,#REF!,2,0),$C254)," - ",E254),IFERROR(VLOOKUP($C254,#REF!,2,0),$C254))</f>
        <v>Bajaj Auto Ltd.</v>
      </c>
      <c r="B254" s="9" t="s">
        <v>161</v>
      </c>
      <c r="C254" s="1" t="s">
        <v>160</v>
      </c>
      <c r="D254" s="1" t="s">
        <v>12</v>
      </c>
      <c r="E254" s="9" t="s">
        <v>62</v>
      </c>
      <c r="F254" s="9" t="s">
        <v>243</v>
      </c>
      <c r="G254" s="9" t="s">
        <v>263</v>
      </c>
      <c r="H254" s="63">
        <v>0</v>
      </c>
      <c r="I254" s="63">
        <v>0</v>
      </c>
      <c r="J254" s="63">
        <v>0</v>
      </c>
      <c r="K254" s="63">
        <v>0</v>
      </c>
      <c r="L254" s="63">
        <v>0</v>
      </c>
      <c r="M254" s="63">
        <v>0</v>
      </c>
      <c r="N254" s="63">
        <v>0</v>
      </c>
      <c r="O254" s="63">
        <v>0</v>
      </c>
      <c r="P254" s="63">
        <v>0</v>
      </c>
      <c r="Q254" s="63">
        <v>0</v>
      </c>
      <c r="R254" s="63">
        <v>0</v>
      </c>
      <c r="S254" s="63">
        <v>0</v>
      </c>
      <c r="T254" s="63">
        <v>0</v>
      </c>
      <c r="U254" s="63"/>
      <c r="V254" s="1"/>
      <c r="W254" s="6"/>
      <c r="X254" s="6"/>
      <c r="Y254" s="6"/>
      <c r="Z254" s="6"/>
      <c r="AA254" s="6"/>
      <c r="AB254" s="6" t="s">
        <v>161</v>
      </c>
      <c r="AC254" s="6" t="s">
        <v>266</v>
      </c>
      <c r="AD254" s="6"/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M254" s="6" t="e">
        <f>_xlfn.XLOOKUP($C254,#REF!,#REF!,"-",0)</f>
        <v>#REF!</v>
      </c>
      <c r="AN254" s="10">
        <f t="shared" si="3"/>
        <v>0</v>
      </c>
    </row>
    <row r="255" spans="1:40" x14ac:dyDescent="0.25">
      <c r="A255" s="6" t="str">
        <f>IF(IFERROR(VLOOKUP($C255,#REF!,2,0),$C255)="Accion",CONCATENATE(IFERROR(VLOOKUP($C255,#REF!,2,0),$C255)," - ",E255),IFERROR(VLOOKUP($C255,#REF!,2,0),$C255))</f>
        <v>International Atomic Energy Agency</v>
      </c>
      <c r="B255" s="9" t="s">
        <v>180</v>
      </c>
      <c r="C255" s="1" t="s">
        <v>84</v>
      </c>
      <c r="D255" s="1" t="s">
        <v>14</v>
      </c>
      <c r="E255" s="9" t="s">
        <v>66</v>
      </c>
      <c r="F255" s="9" t="s">
        <v>238</v>
      </c>
      <c r="G255" s="9" t="s">
        <v>263</v>
      </c>
      <c r="H255" s="63">
        <v>0</v>
      </c>
      <c r="I255" s="63">
        <v>0</v>
      </c>
      <c r="J255" s="63">
        <v>0</v>
      </c>
      <c r="K255" s="63">
        <v>0</v>
      </c>
      <c r="L255" s="63">
        <v>0</v>
      </c>
      <c r="M255" s="63">
        <v>0</v>
      </c>
      <c r="N255" s="63">
        <v>0</v>
      </c>
      <c r="O255" s="63">
        <v>0</v>
      </c>
      <c r="P255" s="63">
        <v>0</v>
      </c>
      <c r="Q255" s="63">
        <v>0</v>
      </c>
      <c r="R255" s="63">
        <v>0</v>
      </c>
      <c r="S255" s="63">
        <v>0</v>
      </c>
      <c r="T255" s="63">
        <v>0</v>
      </c>
      <c r="U255" s="63"/>
      <c r="V255" s="1"/>
      <c r="W255" s="6"/>
      <c r="X255" s="6"/>
      <c r="Y255" s="6"/>
      <c r="Z255" s="6"/>
      <c r="AA255" s="6"/>
      <c r="AB255" s="6" t="s">
        <v>180</v>
      </c>
      <c r="AC255" s="6" t="s">
        <v>264</v>
      </c>
      <c r="AD255" s="6"/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M255" s="6" t="e">
        <f>_xlfn.XLOOKUP($C255,#REF!,#REF!,"-",0)</f>
        <v>#REF!</v>
      </c>
      <c r="AN255" s="10">
        <f t="shared" si="3"/>
        <v>0</v>
      </c>
    </row>
    <row r="256" spans="1:40" x14ac:dyDescent="0.25">
      <c r="A256" s="6" t="str">
        <f>IF(IFERROR(VLOOKUP($C256,#REF!,2,0),$C256)="Accion",CONCATENATE(IFERROR(VLOOKUP($C256,#REF!,2,0),$C256)," - ",E256),IFERROR(VLOOKUP($C256,#REF!,2,0),$C256))</f>
        <v>International Atomic Energy Agency</v>
      </c>
      <c r="B256" s="9" t="s">
        <v>175</v>
      </c>
      <c r="C256" s="1" t="s">
        <v>84</v>
      </c>
      <c r="D256" s="1" t="s">
        <v>15</v>
      </c>
      <c r="E256" s="9" t="s">
        <v>66</v>
      </c>
      <c r="F256" s="9" t="s">
        <v>238</v>
      </c>
      <c r="G256" s="9" t="s">
        <v>263</v>
      </c>
      <c r="H256" s="63">
        <v>0</v>
      </c>
      <c r="I256" s="63">
        <v>0</v>
      </c>
      <c r="J256" s="63">
        <v>0</v>
      </c>
      <c r="K256" s="63">
        <v>0</v>
      </c>
      <c r="L256" s="63">
        <v>0</v>
      </c>
      <c r="M256" s="63">
        <v>0</v>
      </c>
      <c r="N256" s="63">
        <v>0</v>
      </c>
      <c r="O256" s="63">
        <v>0</v>
      </c>
      <c r="P256" s="63">
        <v>0</v>
      </c>
      <c r="Q256" s="63">
        <v>0</v>
      </c>
      <c r="R256" s="63">
        <v>0</v>
      </c>
      <c r="S256" s="63">
        <v>0</v>
      </c>
      <c r="T256" s="63">
        <v>0</v>
      </c>
      <c r="U256" s="63"/>
      <c r="V256" s="1"/>
      <c r="W256" s="6"/>
      <c r="X256" s="6"/>
      <c r="Y256" s="6"/>
      <c r="Z256" s="6"/>
      <c r="AA256" s="6"/>
      <c r="AB256" s="6" t="s">
        <v>175</v>
      </c>
      <c r="AC256" s="6" t="s">
        <v>264</v>
      </c>
      <c r="AD256" s="6"/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M256" s="6" t="e">
        <f>_xlfn.XLOOKUP($C256,#REF!,#REF!,"-",0)</f>
        <v>#REF!</v>
      </c>
      <c r="AN256" s="10">
        <f t="shared" si="3"/>
        <v>0</v>
      </c>
    </row>
    <row r="257" spans="1:40" x14ac:dyDescent="0.25">
      <c r="A257" s="6" t="str">
        <f>IF(IFERROR(VLOOKUP($C257,#REF!,2,0),$C257)="Accion",CONCATENATE(IFERROR(VLOOKUP($C257,#REF!,2,0),$C257)," - ",E257),IFERROR(VLOOKUP($C257,#REF!,2,0),$C257))</f>
        <v>International Atomic Energy Agency</v>
      </c>
      <c r="B257" s="9" t="s">
        <v>176</v>
      </c>
      <c r="C257" s="1" t="s">
        <v>84</v>
      </c>
      <c r="D257" s="105" t="s">
        <v>16</v>
      </c>
      <c r="E257" s="9" t="s">
        <v>66</v>
      </c>
      <c r="F257" s="9" t="s">
        <v>238</v>
      </c>
      <c r="G257" s="9" t="s">
        <v>263</v>
      </c>
      <c r="H257" s="63">
        <v>0</v>
      </c>
      <c r="I257" s="63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0</v>
      </c>
      <c r="P257" s="63">
        <v>0</v>
      </c>
      <c r="Q257" s="63">
        <v>0</v>
      </c>
      <c r="R257" s="63">
        <v>0</v>
      </c>
      <c r="S257" s="63">
        <v>0</v>
      </c>
      <c r="T257" s="63">
        <v>0</v>
      </c>
      <c r="U257" s="63"/>
      <c r="V257" s="1"/>
      <c r="W257" s="6"/>
      <c r="X257" s="6"/>
      <c r="Y257" s="6"/>
      <c r="Z257" s="6"/>
      <c r="AA257" s="6"/>
      <c r="AB257" s="6" t="s">
        <v>176</v>
      </c>
      <c r="AC257" s="6" t="s">
        <v>264</v>
      </c>
      <c r="AD257" s="6"/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M257" s="6" t="e">
        <f>_xlfn.XLOOKUP($C257,#REF!,#REF!,"-",0)</f>
        <v>#REF!</v>
      </c>
      <c r="AN257" s="10">
        <f t="shared" si="3"/>
        <v>0</v>
      </c>
    </row>
    <row r="258" spans="1:40" x14ac:dyDescent="0.25">
      <c r="A258" s="6" t="str">
        <f>IF(IFERROR(VLOOKUP($C258,#REF!,2,0),$C258)="Accion",CONCATENATE(IFERROR(VLOOKUP($C258,#REF!,2,0),$C258)," - ",E258),IFERROR(VLOOKUP($C258,#REF!,2,0),$C258))</f>
        <v>JOHNSON &amp; JOHNSON PVT. LTD</v>
      </c>
      <c r="B258" s="9" t="s">
        <v>185</v>
      </c>
      <c r="C258" s="1" t="s">
        <v>183</v>
      </c>
      <c r="D258" s="1" t="s">
        <v>49</v>
      </c>
      <c r="E258" s="9" t="s">
        <v>62</v>
      </c>
      <c r="F258" s="9" t="s">
        <v>243</v>
      </c>
      <c r="G258" s="9" t="s">
        <v>263</v>
      </c>
      <c r="H258" s="63">
        <v>0</v>
      </c>
      <c r="I258" s="63">
        <v>0</v>
      </c>
      <c r="J258" s="63">
        <v>0</v>
      </c>
      <c r="K258" s="63">
        <v>0</v>
      </c>
      <c r="L258" s="63">
        <v>0</v>
      </c>
      <c r="M258" s="63">
        <v>0</v>
      </c>
      <c r="N258" s="63">
        <v>0</v>
      </c>
      <c r="O258" s="63">
        <v>0</v>
      </c>
      <c r="P258" s="63">
        <v>0</v>
      </c>
      <c r="Q258" s="63">
        <v>0</v>
      </c>
      <c r="R258" s="63">
        <v>0</v>
      </c>
      <c r="S258" s="63">
        <v>0</v>
      </c>
      <c r="T258" s="63">
        <v>0</v>
      </c>
      <c r="U258" s="63"/>
      <c r="V258" s="1"/>
      <c r="W258" s="6"/>
      <c r="X258" s="6"/>
      <c r="Y258" s="6"/>
      <c r="Z258" s="6"/>
      <c r="AA258" s="6"/>
      <c r="AB258" s="6" t="s">
        <v>185</v>
      </c>
      <c r="AC258" s="6" t="s">
        <v>266</v>
      </c>
      <c r="AD258" s="6"/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M258" s="6" t="e">
        <f>_xlfn.XLOOKUP($C258,#REF!,#REF!,"-",0)</f>
        <v>#REF!</v>
      </c>
      <c r="AN258" s="10">
        <f t="shared" si="3"/>
        <v>0</v>
      </c>
    </row>
    <row r="259" spans="1:40" x14ac:dyDescent="0.25">
      <c r="A259" s="6" t="str">
        <f>IF(IFERROR(VLOOKUP($C259,#REF!,2,0),$C259)="Accion",CONCATENATE(IFERROR(VLOOKUP($C259,#REF!,2,0),$C259)," - ",E259),IFERROR(VLOOKUP($C259,#REF!,2,0),$C259))</f>
        <v>Accion Labs US, Inc.</v>
      </c>
      <c r="B259" s="9" t="s">
        <v>154</v>
      </c>
      <c r="C259" s="1" t="s">
        <v>149</v>
      </c>
      <c r="D259" s="1" t="s">
        <v>23</v>
      </c>
      <c r="E259" s="9" t="s">
        <v>66</v>
      </c>
      <c r="F259" s="9" t="s">
        <v>241</v>
      </c>
      <c r="G259" s="9" t="s">
        <v>263</v>
      </c>
      <c r="H259" s="63">
        <v>0</v>
      </c>
      <c r="I259" s="63">
        <v>0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63">
        <v>0</v>
      </c>
      <c r="Q259" s="63">
        <v>0</v>
      </c>
      <c r="R259" s="63">
        <v>0</v>
      </c>
      <c r="S259" s="63">
        <v>0</v>
      </c>
      <c r="T259" s="63">
        <v>0</v>
      </c>
      <c r="U259" s="63"/>
      <c r="V259" s="1"/>
      <c r="W259" s="6"/>
      <c r="X259" s="6"/>
      <c r="Y259" s="6"/>
      <c r="Z259" s="6"/>
      <c r="AA259" s="6"/>
      <c r="AB259" s="6" t="s">
        <v>154</v>
      </c>
      <c r="AC259" s="6" t="s">
        <v>265</v>
      </c>
      <c r="AD259" s="6"/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M259" s="6" t="e">
        <f>_xlfn.XLOOKUP($C259,#REF!,#REF!,"-",0)</f>
        <v>#REF!</v>
      </c>
      <c r="AN259" s="10">
        <f t="shared" si="3"/>
        <v>0</v>
      </c>
    </row>
    <row r="260" spans="1:40" x14ac:dyDescent="0.25">
      <c r="A260" s="6" t="str">
        <f>IF(IFERROR(VLOOKUP($C260,#REF!,2,0),$C260)="Accion",CONCATENATE(IFERROR(VLOOKUP($C260,#REF!,2,0),$C260)," - ",E260),IFERROR(VLOOKUP($C260,#REF!,2,0),$C260))</f>
        <v>Accion Labs US, Inc.</v>
      </c>
      <c r="B260" s="9" t="s">
        <v>155</v>
      </c>
      <c r="C260" s="1" t="s">
        <v>149</v>
      </c>
      <c r="D260" s="1" t="s">
        <v>24</v>
      </c>
      <c r="E260" s="9" t="s">
        <v>66</v>
      </c>
      <c r="F260" s="9" t="s">
        <v>241</v>
      </c>
      <c r="G260" s="9" t="s">
        <v>263</v>
      </c>
      <c r="H260" s="63">
        <v>0</v>
      </c>
      <c r="I260" s="63">
        <v>0</v>
      </c>
      <c r="J260" s="63">
        <v>0</v>
      </c>
      <c r="K260" s="63">
        <v>0</v>
      </c>
      <c r="L260" s="63">
        <v>0</v>
      </c>
      <c r="M260" s="63">
        <v>0</v>
      </c>
      <c r="N260" s="63">
        <v>0</v>
      </c>
      <c r="O260" s="63">
        <v>0</v>
      </c>
      <c r="P260" s="63">
        <v>0</v>
      </c>
      <c r="Q260" s="63">
        <v>0</v>
      </c>
      <c r="R260" s="63">
        <v>0</v>
      </c>
      <c r="S260" s="63">
        <v>0</v>
      </c>
      <c r="T260" s="63">
        <v>0</v>
      </c>
      <c r="U260" s="63"/>
      <c r="V260" s="1"/>
      <c r="W260" s="6"/>
      <c r="X260" s="6"/>
      <c r="Y260" s="6"/>
      <c r="Z260" s="6"/>
      <c r="AA260" s="6"/>
      <c r="AB260" s="6" t="s">
        <v>155</v>
      </c>
      <c r="AC260" s="6" t="s">
        <v>265</v>
      </c>
      <c r="AD260" s="6"/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M260" s="6" t="e">
        <f>_xlfn.XLOOKUP($C260,#REF!,#REF!,"-",0)</f>
        <v>#REF!</v>
      </c>
      <c r="AN260" s="10">
        <f t="shared" si="3"/>
        <v>0</v>
      </c>
    </row>
    <row r="261" spans="1:40" x14ac:dyDescent="0.25">
      <c r="A261" s="6" t="str">
        <f>IF(IFERROR(VLOOKUP($C261,#REF!,2,0),$C261)="Accion",CONCATENATE(IFERROR(VLOOKUP($C261,#REF!,2,0),$C261)," - ",E261),IFERROR(VLOOKUP($C261,#REF!,2,0),$C261))</f>
        <v>CIEL HR Services Limited</v>
      </c>
      <c r="B261" s="9" t="s">
        <v>165</v>
      </c>
      <c r="C261" s="1" t="s">
        <v>164</v>
      </c>
      <c r="D261" s="1" t="s">
        <v>25</v>
      </c>
      <c r="E261" s="9" t="s">
        <v>62</v>
      </c>
      <c r="F261" s="9" t="s">
        <v>243</v>
      </c>
      <c r="G261" s="9" t="s">
        <v>263</v>
      </c>
      <c r="H261" s="63">
        <v>0</v>
      </c>
      <c r="I261" s="63">
        <v>0</v>
      </c>
      <c r="J261" s="63">
        <v>0</v>
      </c>
      <c r="K261" s="63">
        <v>0</v>
      </c>
      <c r="L261" s="63">
        <v>0</v>
      </c>
      <c r="M261" s="63">
        <v>0</v>
      </c>
      <c r="N261" s="63">
        <v>0</v>
      </c>
      <c r="O261" s="63">
        <v>0</v>
      </c>
      <c r="P261" s="63">
        <v>0</v>
      </c>
      <c r="Q261" s="63">
        <v>0</v>
      </c>
      <c r="R261" s="63">
        <v>0</v>
      </c>
      <c r="S261" s="63">
        <v>0</v>
      </c>
      <c r="T261" s="63">
        <v>0</v>
      </c>
      <c r="U261" s="63"/>
      <c r="V261" s="1"/>
      <c r="W261" s="6"/>
      <c r="X261" s="6"/>
      <c r="Y261" s="6"/>
      <c r="Z261" s="6"/>
      <c r="AA261" s="6"/>
      <c r="AB261" s="6" t="s">
        <v>165</v>
      </c>
      <c r="AC261" s="6" t="s">
        <v>266</v>
      </c>
      <c r="AD261" s="6"/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M261" s="6" t="e">
        <f>_xlfn.XLOOKUP($C261,#REF!,#REF!,"-",0)</f>
        <v>#REF!</v>
      </c>
      <c r="AN261" s="10">
        <f t="shared" si="3"/>
        <v>0</v>
      </c>
    </row>
    <row r="262" spans="1:40" x14ac:dyDescent="0.25">
      <c r="A262" s="6" t="str">
        <f>IF(IFERROR(VLOOKUP($C262,#REF!,2,0),$C262)="Accion",CONCATENATE(IFERROR(VLOOKUP($C262,#REF!,2,0),$C262)," - ",E262),IFERROR(VLOOKUP($C262,#REF!,2,0),$C262))</f>
        <v>JOHNSON &amp; JOHNSON PVT. LTD</v>
      </c>
      <c r="B262" s="9" t="s">
        <v>184</v>
      </c>
      <c r="C262" s="1" t="s">
        <v>183</v>
      </c>
      <c r="D262" s="1" t="s">
        <v>32</v>
      </c>
      <c r="E262" s="9" t="s">
        <v>62</v>
      </c>
      <c r="F262" s="9" t="s">
        <v>243</v>
      </c>
      <c r="G262" s="9" t="s">
        <v>263</v>
      </c>
      <c r="H262" s="63">
        <v>0</v>
      </c>
      <c r="I262" s="63">
        <v>0</v>
      </c>
      <c r="J262" s="63">
        <v>0</v>
      </c>
      <c r="K262" s="63">
        <v>0</v>
      </c>
      <c r="L262" s="63">
        <v>0</v>
      </c>
      <c r="M262" s="63">
        <v>0</v>
      </c>
      <c r="N262" s="63">
        <v>0</v>
      </c>
      <c r="O262" s="63">
        <v>0</v>
      </c>
      <c r="P262" s="63">
        <v>0</v>
      </c>
      <c r="Q262" s="63">
        <v>0</v>
      </c>
      <c r="R262" s="63">
        <v>0</v>
      </c>
      <c r="S262" s="63">
        <v>0</v>
      </c>
      <c r="T262" s="63">
        <v>0</v>
      </c>
      <c r="U262" s="63"/>
      <c r="V262" s="1"/>
      <c r="W262" s="6"/>
      <c r="X262" s="6"/>
      <c r="Y262" s="6"/>
      <c r="Z262" s="6"/>
      <c r="AA262" s="6"/>
      <c r="AB262" s="6" t="s">
        <v>184</v>
      </c>
      <c r="AC262" s="6" t="s">
        <v>266</v>
      </c>
      <c r="AD262" s="6"/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M262" s="6" t="e">
        <f>_xlfn.XLOOKUP($C262,#REF!,#REF!,"-",0)</f>
        <v>#REF!</v>
      </c>
      <c r="AN262" s="10">
        <f t="shared" si="3"/>
        <v>0</v>
      </c>
    </row>
    <row r="263" spans="1:40" x14ac:dyDescent="0.25">
      <c r="A263" s="6" t="str">
        <f>IF(IFERROR(VLOOKUP($C263,#REF!,2,0),$C263)="Accion",CONCATENATE(IFERROR(VLOOKUP($C263,#REF!,2,0),$C263)," - ",E263),IFERROR(VLOOKUP($C263,#REF!,2,0),$C263))</f>
        <v>Microsoft Corporation (India) Private Limited</v>
      </c>
      <c r="B263" s="9" t="s">
        <v>186</v>
      </c>
      <c r="C263" s="1" t="s">
        <v>136</v>
      </c>
      <c r="D263" s="1" t="s">
        <v>55</v>
      </c>
      <c r="E263" s="9" t="s">
        <v>62</v>
      </c>
      <c r="F263" s="9" t="s">
        <v>243</v>
      </c>
      <c r="G263" s="9" t="s">
        <v>263</v>
      </c>
      <c r="H263" s="63">
        <v>0</v>
      </c>
      <c r="I263" s="63">
        <v>0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0</v>
      </c>
      <c r="P263" s="63">
        <v>0</v>
      </c>
      <c r="Q263" s="63">
        <v>0</v>
      </c>
      <c r="R263" s="63">
        <v>0</v>
      </c>
      <c r="S263" s="63">
        <v>0</v>
      </c>
      <c r="T263" s="63">
        <v>0</v>
      </c>
      <c r="U263" s="63"/>
      <c r="V263" s="1"/>
      <c r="W263" s="6"/>
      <c r="X263" s="6"/>
      <c r="Y263" s="6"/>
      <c r="Z263" s="6"/>
      <c r="AA263" s="6"/>
      <c r="AB263" s="6" t="s">
        <v>186</v>
      </c>
      <c r="AC263" s="6" t="s">
        <v>266</v>
      </c>
      <c r="AD263" s="6"/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M263" s="6" t="e">
        <f>_xlfn.XLOOKUP($C263,#REF!,#REF!,"-",0)</f>
        <v>#REF!</v>
      </c>
      <c r="AN263" s="10">
        <f t="shared" si="3"/>
        <v>0</v>
      </c>
    </row>
    <row r="264" spans="1:40" x14ac:dyDescent="0.25">
      <c r="A264" s="6" t="str">
        <f>IF(IFERROR(VLOOKUP($C264,#REF!,2,0),$C264)="Accion",CONCATENATE(IFERROR(VLOOKUP($C264,#REF!,2,0),$C264)," - ",E264),IFERROR(VLOOKUP($C264,#REF!,2,0),$C264))</f>
        <v>Accion Labs US, Inc.</v>
      </c>
      <c r="B264" s="9" t="s">
        <v>153</v>
      </c>
      <c r="C264" s="1" t="s">
        <v>149</v>
      </c>
      <c r="D264" s="1" t="s">
        <v>52</v>
      </c>
      <c r="E264" s="9" t="s">
        <v>62</v>
      </c>
      <c r="F264" s="9" t="s">
        <v>241</v>
      </c>
      <c r="G264" s="9" t="s">
        <v>263</v>
      </c>
      <c r="H264" s="63">
        <v>0</v>
      </c>
      <c r="I264" s="63">
        <v>0</v>
      </c>
      <c r="J264" s="63">
        <v>0</v>
      </c>
      <c r="K264" s="63">
        <v>0</v>
      </c>
      <c r="L264" s="63">
        <v>0</v>
      </c>
      <c r="M264" s="63">
        <v>0</v>
      </c>
      <c r="N264" s="63">
        <v>0</v>
      </c>
      <c r="O264" s="63">
        <v>0</v>
      </c>
      <c r="P264" s="63">
        <v>0</v>
      </c>
      <c r="Q264" s="63">
        <v>0</v>
      </c>
      <c r="R264" s="63">
        <v>0</v>
      </c>
      <c r="S264" s="63">
        <v>0</v>
      </c>
      <c r="T264" s="63">
        <v>0</v>
      </c>
      <c r="U264" s="63"/>
      <c r="V264" s="1"/>
      <c r="W264" s="6"/>
      <c r="X264" s="6"/>
      <c r="Y264" s="6"/>
      <c r="Z264" s="6"/>
      <c r="AA264" s="6"/>
      <c r="AB264" s="6" t="s">
        <v>153</v>
      </c>
      <c r="AC264" s="6" t="s">
        <v>265</v>
      </c>
      <c r="AD264" s="6"/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M264" s="6" t="e">
        <f>_xlfn.XLOOKUP($C264,#REF!,#REF!,"-",0)</f>
        <v>#REF!</v>
      </c>
      <c r="AN264" s="10">
        <f t="shared" si="3"/>
        <v>0</v>
      </c>
    </row>
    <row r="265" spans="1:40" x14ac:dyDescent="0.25">
      <c r="A265" s="6" t="str">
        <f>IF(IFERROR(VLOOKUP($C265,#REF!,2,0),$C265)="Accion",CONCATENATE(IFERROR(VLOOKUP($C265,#REF!,2,0),$C265)," - ",E265),IFERROR(VLOOKUP($C265,#REF!,2,0),$C265))</f>
        <v>National Informatics Centre Services Incorporated (NICSI)</v>
      </c>
      <c r="B265" s="9" t="s">
        <v>188</v>
      </c>
      <c r="C265" s="1" t="s">
        <v>187</v>
      </c>
      <c r="D265" s="1" t="s">
        <v>34</v>
      </c>
      <c r="E265" s="9" t="s">
        <v>66</v>
      </c>
      <c r="F265" s="9" t="s">
        <v>243</v>
      </c>
      <c r="G265" s="9" t="s">
        <v>263</v>
      </c>
      <c r="H265" s="63">
        <v>0</v>
      </c>
      <c r="I265" s="63">
        <v>0</v>
      </c>
      <c r="J265" s="63">
        <v>0</v>
      </c>
      <c r="K265" s="63">
        <v>0</v>
      </c>
      <c r="L265" s="63">
        <v>0</v>
      </c>
      <c r="M265" s="63">
        <v>0</v>
      </c>
      <c r="N265" s="63">
        <v>0</v>
      </c>
      <c r="O265" s="63">
        <v>0</v>
      </c>
      <c r="P265" s="63">
        <v>0</v>
      </c>
      <c r="Q265" s="63">
        <v>0</v>
      </c>
      <c r="R265" s="63">
        <v>0</v>
      </c>
      <c r="S265" s="63">
        <v>0</v>
      </c>
      <c r="T265" s="63">
        <v>0</v>
      </c>
      <c r="U265" s="63"/>
      <c r="V265" s="1"/>
      <c r="W265" s="6"/>
      <c r="X265" s="6"/>
      <c r="Y265" s="6"/>
      <c r="Z265" s="6"/>
      <c r="AA265" s="6"/>
      <c r="AB265" s="6" t="s">
        <v>188</v>
      </c>
      <c r="AC265" s="6" t="s">
        <v>266</v>
      </c>
      <c r="AD265" s="6"/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M265" s="6" t="e">
        <f>_xlfn.XLOOKUP($C265,#REF!,#REF!,"-",0)</f>
        <v>#REF!</v>
      </c>
      <c r="AN265" s="10">
        <f t="shared" si="3"/>
        <v>0</v>
      </c>
    </row>
    <row r="266" spans="1:40" x14ac:dyDescent="0.25">
      <c r="A266" s="6" t="str">
        <f>IF(IFERROR(VLOOKUP($C266,#REF!,2,0),$C266)="Accion",CONCATENATE(IFERROR(VLOOKUP($C266,#REF!,2,0),$C266)," - ",E266),IFERROR(VLOOKUP($C266,#REF!,2,0),$C266))</f>
        <v>UNICEF - Yemen</v>
      </c>
      <c r="B266" s="9" t="s">
        <v>210</v>
      </c>
      <c r="C266" s="1" t="s">
        <v>209</v>
      </c>
      <c r="D266" s="1" t="s">
        <v>35</v>
      </c>
      <c r="E266" s="9" t="s">
        <v>66</v>
      </c>
      <c r="F266" s="9" t="s">
        <v>241</v>
      </c>
      <c r="G266" s="9" t="s">
        <v>263</v>
      </c>
      <c r="H266" s="63">
        <v>0</v>
      </c>
      <c r="I266" s="63">
        <v>0</v>
      </c>
      <c r="J266" s="63">
        <v>0</v>
      </c>
      <c r="K266" s="63">
        <v>0</v>
      </c>
      <c r="L266" s="63">
        <v>0</v>
      </c>
      <c r="M266" s="63">
        <v>0</v>
      </c>
      <c r="N266" s="63">
        <v>0</v>
      </c>
      <c r="O266" s="63">
        <v>0</v>
      </c>
      <c r="P266" s="63">
        <v>0</v>
      </c>
      <c r="Q266" s="63">
        <v>0</v>
      </c>
      <c r="R266" s="63">
        <v>0</v>
      </c>
      <c r="S266" s="63">
        <v>0</v>
      </c>
      <c r="T266" s="63">
        <v>0</v>
      </c>
      <c r="U266" s="63"/>
      <c r="V266" s="1"/>
      <c r="W266" s="6"/>
      <c r="X266" s="6"/>
      <c r="Y266" s="6"/>
      <c r="Z266" s="6"/>
      <c r="AA266" s="6"/>
      <c r="AB266" s="6" t="s">
        <v>210</v>
      </c>
      <c r="AC266" s="6" t="s">
        <v>265</v>
      </c>
      <c r="AD266" s="6"/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M266" s="6" t="e">
        <f>_xlfn.XLOOKUP($C266,#REF!,#REF!,"-",0)</f>
        <v>#REF!</v>
      </c>
      <c r="AN266" s="10">
        <f t="shared" si="3"/>
        <v>0</v>
      </c>
    </row>
    <row r="267" spans="1:40" x14ac:dyDescent="0.25">
      <c r="A267" s="6" t="str">
        <f>IF(IFERROR(VLOOKUP($C267,#REF!,2,0),$C267)="Accion",CONCATENATE(IFERROR(VLOOKUP($C267,#REF!,2,0),$C267)," - ",E267),IFERROR(VLOOKUP($C267,#REF!,2,0),$C267))</f>
        <v>International Atomic Energy Agency</v>
      </c>
      <c r="B267" s="9" t="s">
        <v>177</v>
      </c>
      <c r="C267" s="1" t="s">
        <v>84</v>
      </c>
      <c r="D267" s="1" t="s">
        <v>38</v>
      </c>
      <c r="E267" s="9" t="s">
        <v>66</v>
      </c>
      <c r="F267" s="9" t="s">
        <v>238</v>
      </c>
      <c r="G267" s="9" t="s">
        <v>263</v>
      </c>
      <c r="H267" s="63">
        <v>0</v>
      </c>
      <c r="I267" s="63">
        <v>0</v>
      </c>
      <c r="J267" s="63">
        <v>0</v>
      </c>
      <c r="K267" s="63">
        <v>0</v>
      </c>
      <c r="L267" s="63">
        <v>0</v>
      </c>
      <c r="M267" s="63">
        <v>0</v>
      </c>
      <c r="N267" s="63">
        <v>0</v>
      </c>
      <c r="O267" s="63">
        <v>0</v>
      </c>
      <c r="P267" s="63">
        <v>0</v>
      </c>
      <c r="Q267" s="63">
        <v>0</v>
      </c>
      <c r="R267" s="63">
        <v>0</v>
      </c>
      <c r="S267" s="63">
        <v>0</v>
      </c>
      <c r="T267" s="63">
        <v>0</v>
      </c>
      <c r="U267" s="63"/>
      <c r="V267" s="1"/>
      <c r="W267" s="6"/>
      <c r="X267" s="6"/>
      <c r="Y267" s="6"/>
      <c r="Z267" s="6"/>
      <c r="AA267" s="6"/>
      <c r="AB267" s="6" t="s">
        <v>177</v>
      </c>
      <c r="AC267" s="6" t="s">
        <v>264</v>
      </c>
      <c r="AD267" s="6"/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M267" s="6" t="e">
        <f>_xlfn.XLOOKUP($C267,#REF!,#REF!,"-",0)</f>
        <v>#REF!</v>
      </c>
      <c r="AN267" s="10">
        <f t="shared" ref="AN267:AN283" si="4">IF(H267&gt;0,1,IF(H267&lt;0,-1,0))</f>
        <v>0</v>
      </c>
    </row>
    <row r="268" spans="1:40" x14ac:dyDescent="0.25">
      <c r="A268" s="6" t="str">
        <f>IF(IFERROR(VLOOKUP($C268,#REF!,2,0),$C268)="Accion",CONCATENATE(IFERROR(VLOOKUP($C268,#REF!,2,0),$C268)," - ",E268),IFERROR(VLOOKUP($C268,#REF!,2,0),$C268))</f>
        <v>International Atomic Energy Agency</v>
      </c>
      <c r="B268" s="9" t="s">
        <v>181</v>
      </c>
      <c r="C268" s="1" t="s">
        <v>84</v>
      </c>
      <c r="D268" s="1" t="s">
        <v>39</v>
      </c>
      <c r="E268" s="9" t="s">
        <v>66</v>
      </c>
      <c r="F268" s="9" t="s">
        <v>238</v>
      </c>
      <c r="G268" s="9" t="s">
        <v>263</v>
      </c>
      <c r="H268" s="63">
        <v>0</v>
      </c>
      <c r="I268" s="63">
        <v>0</v>
      </c>
      <c r="J268" s="63">
        <v>0</v>
      </c>
      <c r="K268" s="63">
        <v>0</v>
      </c>
      <c r="L268" s="63">
        <v>0</v>
      </c>
      <c r="M268" s="63">
        <v>0</v>
      </c>
      <c r="N268" s="63">
        <v>0</v>
      </c>
      <c r="O268" s="63">
        <v>0</v>
      </c>
      <c r="P268" s="63">
        <v>0</v>
      </c>
      <c r="Q268" s="63">
        <v>0</v>
      </c>
      <c r="R268" s="63">
        <v>0</v>
      </c>
      <c r="S268" s="63">
        <v>0</v>
      </c>
      <c r="T268" s="63">
        <v>0</v>
      </c>
      <c r="U268" s="63"/>
      <c r="V268" s="1"/>
      <c r="W268" s="6"/>
      <c r="X268" s="6"/>
      <c r="Y268" s="6"/>
      <c r="Z268" s="6"/>
      <c r="AA268" s="6"/>
      <c r="AB268" s="6" t="s">
        <v>181</v>
      </c>
      <c r="AC268" s="6" t="s">
        <v>264</v>
      </c>
      <c r="AD268" s="6"/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M268" s="6" t="e">
        <f>_xlfn.XLOOKUP($C268,#REF!,#REF!,"-",0)</f>
        <v>#REF!</v>
      </c>
      <c r="AN268" s="10">
        <f t="shared" si="4"/>
        <v>0</v>
      </c>
    </row>
    <row r="269" spans="1:40" x14ac:dyDescent="0.25">
      <c r="A269" s="6" t="str">
        <f>IF(IFERROR(VLOOKUP($C269,#REF!,2,0),$C269)="Accion",CONCATENATE(IFERROR(VLOOKUP($C269,#REF!,2,0),$C269)," - ",E269),IFERROR(VLOOKUP($C269,#REF!,2,0),$C269))</f>
        <v>International Atomic Energy Agency</v>
      </c>
      <c r="B269" s="9" t="s">
        <v>178</v>
      </c>
      <c r="C269" s="1" t="s">
        <v>84</v>
      </c>
      <c r="D269" s="1" t="s">
        <v>40</v>
      </c>
      <c r="E269" s="9" t="s">
        <v>66</v>
      </c>
      <c r="F269" s="9" t="s">
        <v>238</v>
      </c>
      <c r="G269" s="9" t="s">
        <v>263</v>
      </c>
      <c r="H269" s="63">
        <v>0</v>
      </c>
      <c r="I269" s="63">
        <v>0</v>
      </c>
      <c r="J269" s="63">
        <v>0</v>
      </c>
      <c r="K269" s="63">
        <v>0</v>
      </c>
      <c r="L269" s="63">
        <v>0</v>
      </c>
      <c r="M269" s="63">
        <v>0</v>
      </c>
      <c r="N269" s="63">
        <v>0</v>
      </c>
      <c r="O269" s="63">
        <v>0</v>
      </c>
      <c r="P269" s="63">
        <v>0</v>
      </c>
      <c r="Q269" s="63">
        <v>0</v>
      </c>
      <c r="R269" s="63">
        <v>0</v>
      </c>
      <c r="S269" s="63">
        <v>0</v>
      </c>
      <c r="T269" s="63">
        <v>0</v>
      </c>
      <c r="U269" s="63"/>
      <c r="V269" s="1"/>
      <c r="W269" s="6"/>
      <c r="X269" s="6"/>
      <c r="Y269" s="6"/>
      <c r="Z269" s="6"/>
      <c r="AA269" s="6"/>
      <c r="AB269" s="6" t="s">
        <v>178</v>
      </c>
      <c r="AC269" s="6" t="s">
        <v>264</v>
      </c>
      <c r="AD269" s="6"/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M269" s="6" t="e">
        <f>_xlfn.XLOOKUP($C269,#REF!,#REF!,"-",0)</f>
        <v>#REF!</v>
      </c>
      <c r="AN269" s="10">
        <f t="shared" si="4"/>
        <v>0</v>
      </c>
    </row>
    <row r="270" spans="1:40" x14ac:dyDescent="0.25">
      <c r="A270" s="6" t="str">
        <f>IF(IFERROR(VLOOKUP($C270,#REF!,2,0),$C270)="Accion",CONCATENATE(IFERROR(VLOOKUP($C270,#REF!,2,0),$C270)," - ",E270),IFERROR(VLOOKUP($C270,#REF!,2,0),$C270))</f>
        <v>Assura Protect Limited</v>
      </c>
      <c r="B270" s="9" t="s">
        <v>158</v>
      </c>
      <c r="C270" s="1" t="s">
        <v>114</v>
      </c>
      <c r="D270" s="1" t="s">
        <v>42</v>
      </c>
      <c r="E270" s="9" t="s">
        <v>62</v>
      </c>
      <c r="F270" s="9" t="s">
        <v>238</v>
      </c>
      <c r="G270" s="9" t="s">
        <v>263</v>
      </c>
      <c r="H270" s="63">
        <v>0</v>
      </c>
      <c r="I270" s="63">
        <v>0</v>
      </c>
      <c r="J270" s="63">
        <v>0</v>
      </c>
      <c r="K270" s="63">
        <v>0</v>
      </c>
      <c r="L270" s="63">
        <v>0</v>
      </c>
      <c r="M270" s="63">
        <v>0</v>
      </c>
      <c r="N270" s="63">
        <v>0</v>
      </c>
      <c r="O270" s="63">
        <v>0</v>
      </c>
      <c r="P270" s="63">
        <v>0</v>
      </c>
      <c r="Q270" s="63">
        <v>0</v>
      </c>
      <c r="R270" s="63">
        <v>0</v>
      </c>
      <c r="S270" s="63">
        <v>0</v>
      </c>
      <c r="T270" s="63">
        <v>0</v>
      </c>
      <c r="U270" s="63"/>
      <c r="V270" s="1"/>
      <c r="W270" s="6"/>
      <c r="X270" s="6"/>
      <c r="Y270" s="6"/>
      <c r="Z270" s="6"/>
      <c r="AA270" s="6"/>
      <c r="AB270" s="6" t="s">
        <v>158</v>
      </c>
      <c r="AC270" s="6" t="s">
        <v>264</v>
      </c>
      <c r="AD270" s="6"/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M270" s="6" t="e">
        <f>_xlfn.XLOOKUP($C270,#REF!,#REF!,"-",0)</f>
        <v>#REF!</v>
      </c>
      <c r="AN270" s="10">
        <f t="shared" si="4"/>
        <v>0</v>
      </c>
    </row>
    <row r="271" spans="1:40" x14ac:dyDescent="0.25">
      <c r="A271" s="6" t="str">
        <f>IF(IFERROR(VLOOKUP($C271,#REF!,2,0),$C271)="Accion",CONCATENATE(IFERROR(VLOOKUP($C271,#REF!,2,0),$C271)," - ",E271),IFERROR(VLOOKUP($C271,#REF!,2,0),$C271))</f>
        <v>International Atomic Energy Agency</v>
      </c>
      <c r="B271" s="9" t="s">
        <v>179</v>
      </c>
      <c r="C271" s="1" t="s">
        <v>84</v>
      </c>
      <c r="D271" s="1" t="s">
        <v>43</v>
      </c>
      <c r="E271" s="9" t="s">
        <v>66</v>
      </c>
      <c r="F271" s="9" t="s">
        <v>238</v>
      </c>
      <c r="G271" s="9" t="s">
        <v>263</v>
      </c>
      <c r="H271" s="63">
        <v>0</v>
      </c>
      <c r="I271" s="63">
        <v>0</v>
      </c>
      <c r="J271" s="63">
        <v>0</v>
      </c>
      <c r="K271" s="63">
        <v>0</v>
      </c>
      <c r="L271" s="63">
        <v>0</v>
      </c>
      <c r="M271" s="63">
        <v>0</v>
      </c>
      <c r="N271" s="63">
        <v>0</v>
      </c>
      <c r="O271" s="63">
        <v>0</v>
      </c>
      <c r="P271" s="63">
        <v>0</v>
      </c>
      <c r="Q271" s="63">
        <v>0</v>
      </c>
      <c r="R271" s="63">
        <v>0</v>
      </c>
      <c r="S271" s="63">
        <v>0</v>
      </c>
      <c r="T271" s="63">
        <v>0</v>
      </c>
      <c r="U271" s="63"/>
      <c r="V271" s="1"/>
      <c r="W271" s="6"/>
      <c r="X271" s="6"/>
      <c r="Y271" s="6"/>
      <c r="Z271" s="6"/>
      <c r="AA271" s="6"/>
      <c r="AB271" s="6" t="s">
        <v>179</v>
      </c>
      <c r="AC271" s="6" t="s">
        <v>264</v>
      </c>
      <c r="AD271" s="6"/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M271" s="6" t="e">
        <f>_xlfn.XLOOKUP($C271,#REF!,#REF!,"-",0)</f>
        <v>#REF!</v>
      </c>
      <c r="AN271" s="10">
        <f t="shared" si="4"/>
        <v>0</v>
      </c>
    </row>
    <row r="272" spans="1:40" x14ac:dyDescent="0.25">
      <c r="A272" s="6" t="str">
        <f>IF(IFERROR(VLOOKUP($C272,#REF!,2,0),$C272)="Accion",CONCATENATE(IFERROR(VLOOKUP($C272,#REF!,2,0),$C272)," - ",E272),IFERROR(VLOOKUP($C272,#REF!,2,0),$C272))</f>
        <v>World Health Organization.</v>
      </c>
      <c r="B272" s="9" t="s">
        <v>206</v>
      </c>
      <c r="C272" s="1" t="s">
        <v>143</v>
      </c>
      <c r="D272" s="1" t="s">
        <v>44</v>
      </c>
      <c r="E272" s="9" t="s">
        <v>66</v>
      </c>
      <c r="F272" s="9" t="s">
        <v>238</v>
      </c>
      <c r="G272" s="9" t="s">
        <v>263</v>
      </c>
      <c r="H272" s="63">
        <v>0</v>
      </c>
      <c r="I272" s="63">
        <v>0</v>
      </c>
      <c r="J272" s="63">
        <v>0</v>
      </c>
      <c r="K272" s="63">
        <v>0</v>
      </c>
      <c r="L272" s="63">
        <v>0</v>
      </c>
      <c r="M272" s="63">
        <v>0</v>
      </c>
      <c r="N272" s="63">
        <v>0</v>
      </c>
      <c r="O272" s="63">
        <v>0</v>
      </c>
      <c r="P272" s="63">
        <v>0</v>
      </c>
      <c r="Q272" s="63">
        <v>0</v>
      </c>
      <c r="R272" s="63">
        <v>0</v>
      </c>
      <c r="S272" s="63">
        <v>0</v>
      </c>
      <c r="T272" s="63">
        <v>0</v>
      </c>
      <c r="U272" s="63"/>
      <c r="V272" s="104"/>
      <c r="W272" s="6"/>
      <c r="X272" s="6"/>
      <c r="Y272" s="6"/>
      <c r="Z272" s="6"/>
      <c r="AA272" s="6"/>
      <c r="AB272" s="6" t="s">
        <v>206</v>
      </c>
      <c r="AC272" s="6" t="s">
        <v>264</v>
      </c>
      <c r="AD272" s="6"/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M272" s="6" t="e">
        <f>_xlfn.XLOOKUP($C272,#REF!,#REF!,"-",0)</f>
        <v>#REF!</v>
      </c>
      <c r="AN272" s="10">
        <f t="shared" si="4"/>
        <v>0</v>
      </c>
    </row>
    <row r="273" spans="1:40" x14ac:dyDescent="0.25">
      <c r="A273" s="6" t="str">
        <f>IF(IFERROR(VLOOKUP($C273,#REF!,2,0),$C273)="Accion",CONCATENATE(IFERROR(VLOOKUP($C273,#REF!,2,0),$C273)," - ",E273),IFERROR(VLOOKUP($C273,#REF!,2,0),$C273))</f>
        <v>World Health Organization.</v>
      </c>
      <c r="B273" s="9" t="s">
        <v>204</v>
      </c>
      <c r="C273" s="1" t="s">
        <v>143</v>
      </c>
      <c r="D273" s="1" t="s">
        <v>45</v>
      </c>
      <c r="E273" s="9" t="s">
        <v>66</v>
      </c>
      <c r="F273" s="9" t="s">
        <v>238</v>
      </c>
      <c r="G273" s="9" t="s">
        <v>263</v>
      </c>
      <c r="H273" s="63">
        <v>0</v>
      </c>
      <c r="I273" s="63">
        <v>0</v>
      </c>
      <c r="J273" s="63">
        <v>0</v>
      </c>
      <c r="K273" s="63">
        <v>0</v>
      </c>
      <c r="L273" s="63">
        <v>0</v>
      </c>
      <c r="M273" s="63">
        <v>0</v>
      </c>
      <c r="N273" s="63">
        <v>0</v>
      </c>
      <c r="O273" s="63">
        <v>0</v>
      </c>
      <c r="P273" s="63">
        <v>0</v>
      </c>
      <c r="Q273" s="63">
        <v>0</v>
      </c>
      <c r="R273" s="63">
        <v>0</v>
      </c>
      <c r="S273" s="63">
        <v>0</v>
      </c>
      <c r="T273" s="63">
        <v>0</v>
      </c>
      <c r="U273" s="63"/>
      <c r="V273" s="104"/>
      <c r="W273" s="6"/>
      <c r="X273" s="6"/>
      <c r="Y273" s="6"/>
      <c r="Z273" s="6"/>
      <c r="AA273" s="6"/>
      <c r="AB273" s="6" t="s">
        <v>204</v>
      </c>
      <c r="AC273" s="6" t="s">
        <v>264</v>
      </c>
      <c r="AD273" s="6"/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M273" s="6" t="e">
        <f>_xlfn.XLOOKUP($C273,#REF!,#REF!,"-",0)</f>
        <v>#REF!</v>
      </c>
      <c r="AN273" s="10">
        <f t="shared" si="4"/>
        <v>0</v>
      </c>
    </row>
    <row r="274" spans="1:40" x14ac:dyDescent="0.25">
      <c r="A274" s="6" t="str">
        <f>IF(IFERROR(VLOOKUP($C274,#REF!,2,0),$C274)="Accion",CONCATENATE(IFERROR(VLOOKUP($C274,#REF!,2,0),$C274)," - ",E274),IFERROR(VLOOKUP($C274,#REF!,2,0),$C274))</f>
        <v>Axio Digital Private Limited</v>
      </c>
      <c r="B274" s="9" t="s">
        <v>159</v>
      </c>
      <c r="C274" s="1" t="s">
        <v>116</v>
      </c>
      <c r="D274" s="1" t="s">
        <v>46</v>
      </c>
      <c r="E274" s="9" t="s">
        <v>62</v>
      </c>
      <c r="F274" s="9" t="s">
        <v>243</v>
      </c>
      <c r="G274" s="9" t="s">
        <v>263</v>
      </c>
      <c r="H274" s="63">
        <v>0</v>
      </c>
      <c r="I274" s="63">
        <v>0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  <c r="Q274" s="63">
        <v>0</v>
      </c>
      <c r="R274" s="63">
        <v>0</v>
      </c>
      <c r="S274" s="63">
        <v>0</v>
      </c>
      <c r="T274" s="63">
        <v>0</v>
      </c>
      <c r="U274" s="63"/>
      <c r="V274" s="1"/>
      <c r="W274" s="6"/>
      <c r="X274" s="6"/>
      <c r="Y274" s="6"/>
      <c r="Z274" s="6"/>
      <c r="AA274" s="6"/>
      <c r="AB274" s="6" t="s">
        <v>159</v>
      </c>
      <c r="AC274" s="6" t="s">
        <v>266</v>
      </c>
      <c r="AD274" s="6"/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M274" s="6" t="e">
        <f>_xlfn.XLOOKUP($C274,#REF!,#REF!,"-",0)</f>
        <v>#REF!</v>
      </c>
      <c r="AN274" s="10">
        <f t="shared" si="4"/>
        <v>0</v>
      </c>
    </row>
    <row r="275" spans="1:40" x14ac:dyDescent="0.25">
      <c r="A275" s="6" t="str">
        <f>IF(IFERROR(VLOOKUP($C275,#REF!,2,0),$C275)="Accion",CONCATENATE(IFERROR(VLOOKUP($C275,#REF!,2,0),$C275)," - ",E275),IFERROR(VLOOKUP($C275,#REF!,2,0),$C275))</f>
        <v>Translational Health Science and Technology Institute</v>
      </c>
      <c r="B275" s="9" t="s">
        <v>163</v>
      </c>
      <c r="C275" s="1" t="s">
        <v>117</v>
      </c>
      <c r="D275" s="1" t="s">
        <v>47</v>
      </c>
      <c r="E275" s="9" t="s">
        <v>66</v>
      </c>
      <c r="F275" s="9" t="s">
        <v>243</v>
      </c>
      <c r="G275" s="9" t="s">
        <v>263</v>
      </c>
      <c r="H275" s="63">
        <v>0</v>
      </c>
      <c r="I275" s="63">
        <v>0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3">
        <v>0</v>
      </c>
      <c r="T275" s="63">
        <v>0</v>
      </c>
      <c r="U275" s="63"/>
      <c r="V275" s="1"/>
      <c r="W275" s="6"/>
      <c r="X275" s="6"/>
      <c r="Y275" s="6"/>
      <c r="Z275" s="6"/>
      <c r="AA275" s="6"/>
      <c r="AB275" s="6" t="s">
        <v>163</v>
      </c>
      <c r="AC275" s="6" t="s">
        <v>266</v>
      </c>
      <c r="AD275" s="6"/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M275" s="6" t="e">
        <f>_xlfn.XLOOKUP($C275,#REF!,#REF!,"-",0)</f>
        <v>#REF!</v>
      </c>
      <c r="AN275" s="10">
        <f t="shared" si="4"/>
        <v>0</v>
      </c>
    </row>
    <row r="276" spans="1:40" x14ac:dyDescent="0.25">
      <c r="A276" s="6" t="str">
        <f>IF(IFERROR(VLOOKUP($C276,#REF!,2,0),$C276)="Accion",CONCATENATE(IFERROR(VLOOKUP($C276,#REF!,2,0),$C276)," - ",E276),IFERROR(VLOOKUP($C276,#REF!,2,0),$C276))</f>
        <v>National Academy of Sports Medicine</v>
      </c>
      <c r="B276" s="9" t="s">
        <v>595</v>
      </c>
      <c r="C276" s="1" t="s">
        <v>211</v>
      </c>
      <c r="D276" s="1" t="s">
        <v>596</v>
      </c>
      <c r="E276" s="9" t="s">
        <v>62</v>
      </c>
      <c r="F276" s="9" t="s">
        <v>241</v>
      </c>
      <c r="G276" s="9" t="s">
        <v>263</v>
      </c>
      <c r="H276" s="63">
        <v>-2.0000000000436557E-2</v>
      </c>
      <c r="I276" s="63">
        <v>-2.0000000000436557E-2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v>0</v>
      </c>
      <c r="R276" s="63">
        <v>0</v>
      </c>
      <c r="S276" s="63">
        <v>0</v>
      </c>
      <c r="T276" s="63">
        <v>0</v>
      </c>
      <c r="U276" s="63"/>
      <c r="V276" s="1" t="s">
        <v>955</v>
      </c>
      <c r="W276" s="6"/>
      <c r="X276" s="6">
        <v>5</v>
      </c>
      <c r="Y276" s="6"/>
      <c r="Z276" s="6"/>
      <c r="AA276" s="6"/>
      <c r="AB276" s="6" t="s">
        <v>595</v>
      </c>
      <c r="AC276" s="6" t="s">
        <v>265</v>
      </c>
      <c r="AD276" s="6"/>
      <c r="AE276" s="6">
        <v>-2.0000000000436557E-2</v>
      </c>
      <c r="AF276" s="6">
        <v>-2.0000000000436557E-2</v>
      </c>
      <c r="AG276" s="6">
        <v>0</v>
      </c>
      <c r="AH276" s="6">
        <v>0</v>
      </c>
      <c r="AI276" s="6">
        <v>0</v>
      </c>
      <c r="AM276" s="6" t="e">
        <f>_xlfn.XLOOKUP($C276,#REF!,#REF!,"-",0)</f>
        <v>#REF!</v>
      </c>
      <c r="AN276" s="10">
        <f t="shared" si="4"/>
        <v>-1</v>
      </c>
    </row>
    <row r="277" spans="1:40" x14ac:dyDescent="0.25">
      <c r="A277" s="6" t="str">
        <f>IF(IFERROR(VLOOKUP($C277,#REF!,2,0),$C277)="Accion",CONCATENATE(IFERROR(VLOOKUP($C277,#REF!,2,0),$C277)," - ",E277),IFERROR(VLOOKUP($C277,#REF!,2,0),$C277))</f>
        <v>ABS Professional Services (India) Private Limited</v>
      </c>
      <c r="B277" s="9" t="s">
        <v>510</v>
      </c>
      <c r="C277" s="1" t="s">
        <v>511</v>
      </c>
      <c r="D277" s="1" t="s">
        <v>512</v>
      </c>
      <c r="E277" s="9" t="s">
        <v>62</v>
      </c>
      <c r="F277" s="9" t="s">
        <v>243</v>
      </c>
      <c r="G277" s="9" t="s">
        <v>263</v>
      </c>
      <c r="H277" s="63">
        <v>-68.800000000001091</v>
      </c>
      <c r="I277" s="63">
        <v>0</v>
      </c>
      <c r="J277" s="63">
        <v>-68.800000000001091</v>
      </c>
      <c r="K277" s="63">
        <v>0</v>
      </c>
      <c r="L277" s="63">
        <v>0</v>
      </c>
      <c r="M277" s="63">
        <v>0</v>
      </c>
      <c r="N277" s="63">
        <v>0</v>
      </c>
      <c r="O277" s="63">
        <v>0</v>
      </c>
      <c r="P277" s="63">
        <v>0</v>
      </c>
      <c r="Q277" s="63">
        <v>0</v>
      </c>
      <c r="R277" s="63">
        <v>0</v>
      </c>
      <c r="S277" s="63">
        <v>0</v>
      </c>
      <c r="T277" s="63">
        <v>0</v>
      </c>
      <c r="U277" s="63"/>
      <c r="V277" s="104" t="s">
        <v>956</v>
      </c>
      <c r="W277" s="6"/>
      <c r="X277" s="6">
        <v>5</v>
      </c>
      <c r="Y277" s="6"/>
      <c r="Z277" s="6"/>
      <c r="AA277" s="6"/>
      <c r="AB277" s="6" t="s">
        <v>510</v>
      </c>
      <c r="AC277" s="6" t="s">
        <v>266</v>
      </c>
      <c r="AD277" s="6"/>
      <c r="AE277" s="6">
        <v>-68.800000000001091</v>
      </c>
      <c r="AF277" s="6">
        <v>-68.800000000001091</v>
      </c>
      <c r="AG277" s="6">
        <v>0</v>
      </c>
      <c r="AH277" s="6">
        <v>0</v>
      </c>
      <c r="AI277" s="6">
        <v>0</v>
      </c>
      <c r="AM277" s="6" t="e">
        <f>_xlfn.XLOOKUP($C277,#REF!,#REF!,"-",0)</f>
        <v>#REF!</v>
      </c>
      <c r="AN277" s="10">
        <f t="shared" si="4"/>
        <v>-1</v>
      </c>
    </row>
    <row r="278" spans="1:40" x14ac:dyDescent="0.25">
      <c r="A278" s="6" t="str">
        <f>IF(IFERROR(VLOOKUP($C278,#REF!,2,0),$C278)="Accion",CONCATENATE(IFERROR(VLOOKUP($C278,#REF!,2,0),$C278)," - ",E278),IFERROR(VLOOKUP($C278,#REF!,2,0),$C278))</f>
        <v>International Computing Centre</v>
      </c>
      <c r="B278" s="9" t="s">
        <v>486</v>
      </c>
      <c r="C278" s="1" t="s">
        <v>82</v>
      </c>
      <c r="D278" s="1" t="s">
        <v>487</v>
      </c>
      <c r="E278" s="9" t="s">
        <v>66</v>
      </c>
      <c r="F278" s="9" t="s">
        <v>241</v>
      </c>
      <c r="G278" s="9" t="s">
        <v>263</v>
      </c>
      <c r="H278" s="63">
        <v>-118.75</v>
      </c>
      <c r="I278" s="63">
        <v>0</v>
      </c>
      <c r="J278" s="63">
        <v>-118.75</v>
      </c>
      <c r="K278" s="63">
        <v>0</v>
      </c>
      <c r="L278" s="63">
        <v>0</v>
      </c>
      <c r="M278" s="63">
        <v>0</v>
      </c>
      <c r="N278" s="63">
        <v>0</v>
      </c>
      <c r="O278" s="63">
        <v>0</v>
      </c>
      <c r="P278" s="63">
        <v>0</v>
      </c>
      <c r="Q278" s="63">
        <v>0</v>
      </c>
      <c r="R278" s="63">
        <v>0</v>
      </c>
      <c r="S278" s="63">
        <v>0</v>
      </c>
      <c r="T278" s="63">
        <v>0</v>
      </c>
      <c r="U278" s="63"/>
      <c r="V278" s="1" t="s">
        <v>956</v>
      </c>
      <c r="W278" s="6"/>
      <c r="X278" s="6">
        <v>5</v>
      </c>
      <c r="Y278" s="6"/>
      <c r="Z278" s="6"/>
      <c r="AA278" s="6"/>
      <c r="AB278" s="6" t="s">
        <v>486</v>
      </c>
      <c r="AC278" s="6" t="s">
        <v>265</v>
      </c>
      <c r="AD278" s="6"/>
      <c r="AE278" s="6">
        <v>-118.75</v>
      </c>
      <c r="AF278" s="6">
        <v>-118.75</v>
      </c>
      <c r="AG278" s="6">
        <v>0</v>
      </c>
      <c r="AH278" s="6">
        <v>0</v>
      </c>
      <c r="AI278" s="6">
        <v>0</v>
      </c>
      <c r="AM278" s="6" t="e">
        <f>_xlfn.XLOOKUP($C278,#REF!,#REF!,"-",0)</f>
        <v>#REF!</v>
      </c>
      <c r="AN278" s="10">
        <f t="shared" si="4"/>
        <v>-1</v>
      </c>
    </row>
    <row r="279" spans="1:40" x14ac:dyDescent="0.25">
      <c r="A279" s="6" t="str">
        <f>IF(IFERROR(VLOOKUP($C279,#REF!,2,0),$C279)="Accion",CONCATENATE(IFERROR(VLOOKUP($C279,#REF!,2,0),$C279)," - ",E279),IFERROR(VLOOKUP($C279,#REF!,2,0),$C279))</f>
        <v>110 Holdings, LLC, DBA Launch Consulting</v>
      </c>
      <c r="B279" s="9" t="s">
        <v>573</v>
      </c>
      <c r="C279" s="1" t="s">
        <v>145</v>
      </c>
      <c r="D279" s="1" t="s">
        <v>574</v>
      </c>
      <c r="E279" s="9" t="s">
        <v>62</v>
      </c>
      <c r="F279" s="9" t="s">
        <v>241</v>
      </c>
      <c r="G279" s="9" t="s">
        <v>263</v>
      </c>
      <c r="H279" s="63">
        <v>-480</v>
      </c>
      <c r="I279" s="63">
        <v>0</v>
      </c>
      <c r="J279" s="63">
        <v>0</v>
      </c>
      <c r="K279" s="63">
        <v>-480</v>
      </c>
      <c r="L279" s="63">
        <v>0</v>
      </c>
      <c r="M279" s="63">
        <v>0</v>
      </c>
      <c r="N279" s="63">
        <v>0</v>
      </c>
      <c r="O279" s="63">
        <v>0</v>
      </c>
      <c r="P279" s="63">
        <v>0</v>
      </c>
      <c r="Q279" s="63">
        <v>0</v>
      </c>
      <c r="R279" s="63">
        <v>0</v>
      </c>
      <c r="S279" s="63">
        <v>0</v>
      </c>
      <c r="T279" s="63">
        <v>0</v>
      </c>
      <c r="U279" s="63"/>
      <c r="V279" s="104" t="s">
        <v>956</v>
      </c>
      <c r="W279" s="6"/>
      <c r="X279" s="6">
        <v>5</v>
      </c>
      <c r="Y279" s="6"/>
      <c r="Z279" s="6"/>
      <c r="AA279" s="6"/>
      <c r="AB279" s="6" t="s">
        <v>573</v>
      </c>
      <c r="AC279" s="6" t="s">
        <v>265</v>
      </c>
      <c r="AD279" s="6"/>
      <c r="AE279" s="6">
        <v>-480</v>
      </c>
      <c r="AF279" s="6">
        <v>-480</v>
      </c>
      <c r="AG279" s="6">
        <v>0</v>
      </c>
      <c r="AH279" s="6">
        <v>0</v>
      </c>
      <c r="AI279" s="6">
        <v>0</v>
      </c>
      <c r="AM279" s="6" t="e">
        <f>_xlfn.XLOOKUP($C279,#REF!,#REF!,"-",0)</f>
        <v>#REF!</v>
      </c>
      <c r="AN279" s="10">
        <f t="shared" si="4"/>
        <v>-1</v>
      </c>
    </row>
    <row r="280" spans="1:40" x14ac:dyDescent="0.25">
      <c r="A280" s="6" t="str">
        <f>IF(IFERROR(VLOOKUP($C280,#REF!,2,0),$C280)="Accion",CONCATENATE(IFERROR(VLOOKUP($C280,#REF!,2,0),$C280)," - ",E280),IFERROR(VLOOKUP($C280,#REF!,2,0),$C280))</f>
        <v>National Informatics Centre Services Incorporated (NICSI)</v>
      </c>
      <c r="B280" s="9" t="s">
        <v>734</v>
      </c>
      <c r="C280" s="1" t="s">
        <v>187</v>
      </c>
      <c r="D280" s="1" t="s">
        <v>735</v>
      </c>
      <c r="E280" s="9" t="s">
        <v>66</v>
      </c>
      <c r="F280" s="9" t="s">
        <v>243</v>
      </c>
      <c r="G280" s="9" t="s">
        <v>263</v>
      </c>
      <c r="H280" s="63">
        <v>-671.6099999999999</v>
      </c>
      <c r="I280" s="63">
        <v>0</v>
      </c>
      <c r="J280" s="63">
        <v>-671.6099999999999</v>
      </c>
      <c r="K280" s="63">
        <v>0</v>
      </c>
      <c r="L280" s="63">
        <v>0</v>
      </c>
      <c r="M280" s="63">
        <v>0</v>
      </c>
      <c r="N280" s="63">
        <v>0</v>
      </c>
      <c r="O280" s="63">
        <v>0</v>
      </c>
      <c r="P280" s="63">
        <v>0</v>
      </c>
      <c r="Q280" s="63">
        <v>0</v>
      </c>
      <c r="R280" s="63">
        <v>0</v>
      </c>
      <c r="S280" s="63">
        <v>0</v>
      </c>
      <c r="T280" s="63">
        <v>0</v>
      </c>
      <c r="U280" s="63"/>
      <c r="V280" s="1" t="s">
        <v>956</v>
      </c>
      <c r="W280" s="6"/>
      <c r="X280" s="6">
        <v>5</v>
      </c>
      <c r="Y280" s="6"/>
      <c r="Z280" s="6"/>
      <c r="AA280" s="6"/>
      <c r="AB280" s="6" t="s">
        <v>734</v>
      </c>
      <c r="AC280" s="6" t="s">
        <v>266</v>
      </c>
      <c r="AD280" s="6"/>
      <c r="AE280" s="6">
        <v>-671.6099999999999</v>
      </c>
      <c r="AF280" s="6">
        <v>-671.6099999999999</v>
      </c>
      <c r="AG280" s="6">
        <v>0</v>
      </c>
      <c r="AH280" s="6">
        <v>0</v>
      </c>
      <c r="AI280" s="6">
        <v>0</v>
      </c>
      <c r="AM280" s="6" t="e">
        <f>_xlfn.XLOOKUP($C280,#REF!,#REF!,"-",0)</f>
        <v>#REF!</v>
      </c>
      <c r="AN280" s="10">
        <f t="shared" si="4"/>
        <v>-1</v>
      </c>
    </row>
    <row r="281" spans="1:40" x14ac:dyDescent="0.25">
      <c r="A281" s="6" t="str">
        <f>IF(IFERROR(VLOOKUP($C281,#REF!,2,0),$C281)="Accion",CONCATENATE(IFERROR(VLOOKUP($C281,#REF!,2,0),$C281)," - ",E281),IFERROR(VLOOKUP($C281,#REF!,2,0),$C281))</f>
        <v>Ascend Learning LLC</v>
      </c>
      <c r="B281" s="9" t="s">
        <v>605</v>
      </c>
      <c r="C281" s="1" t="s">
        <v>90</v>
      </c>
      <c r="D281" s="1" t="s">
        <v>606</v>
      </c>
      <c r="E281" s="9" t="s">
        <v>62</v>
      </c>
      <c r="F281" s="9" t="s">
        <v>241</v>
      </c>
      <c r="G281" s="9" t="s">
        <v>263</v>
      </c>
      <c r="H281" s="63">
        <v>-1231.3600000000006</v>
      </c>
      <c r="I281" s="63">
        <v>0</v>
      </c>
      <c r="J281" s="63">
        <v>-1231.3600000000006</v>
      </c>
      <c r="K281" s="63">
        <v>0</v>
      </c>
      <c r="L281" s="63">
        <v>0</v>
      </c>
      <c r="M281" s="63">
        <v>0</v>
      </c>
      <c r="N281" s="63">
        <v>0</v>
      </c>
      <c r="O281" s="63">
        <v>0</v>
      </c>
      <c r="P281" s="63">
        <v>0</v>
      </c>
      <c r="Q281" s="63">
        <v>0</v>
      </c>
      <c r="R281" s="63">
        <v>0</v>
      </c>
      <c r="S281" s="63">
        <v>0</v>
      </c>
      <c r="T281" s="63">
        <v>0</v>
      </c>
      <c r="U281" s="63"/>
      <c r="V281" s="1" t="s">
        <v>956</v>
      </c>
      <c r="W281" s="6"/>
      <c r="X281" s="6">
        <v>5</v>
      </c>
      <c r="Y281" s="6"/>
      <c r="Z281" s="6"/>
      <c r="AA281" s="6"/>
      <c r="AB281" s="6" t="s">
        <v>605</v>
      </c>
      <c r="AC281" s="6" t="s">
        <v>265</v>
      </c>
      <c r="AD281" s="6"/>
      <c r="AE281" s="6">
        <v>-1231.3600000000006</v>
      </c>
      <c r="AF281" s="6">
        <v>-1231.3600000000006</v>
      </c>
      <c r="AG281" s="6">
        <v>0</v>
      </c>
      <c r="AH281" s="6">
        <v>0</v>
      </c>
      <c r="AI281" s="6">
        <v>0</v>
      </c>
      <c r="AM281" s="6" t="e">
        <f>_xlfn.XLOOKUP($C281,#REF!,#REF!,"-",0)</f>
        <v>#REF!</v>
      </c>
      <c r="AN281" s="10">
        <f t="shared" si="4"/>
        <v>-1</v>
      </c>
    </row>
    <row r="282" spans="1:40" x14ac:dyDescent="0.25">
      <c r="A282" s="6" t="str">
        <f>IF(IFERROR(VLOOKUP($C282,#REF!,2,0),$C282)="Accion",CONCATENATE(IFERROR(VLOOKUP($C282,#REF!,2,0),$C282)," - ",E282),IFERROR(VLOOKUP($C282,#REF!,2,0),$C282))</f>
        <v>UNICEF</v>
      </c>
      <c r="B282" s="9" t="s">
        <v>599</v>
      </c>
      <c r="C282" s="1" t="s">
        <v>74</v>
      </c>
      <c r="D282" s="1" t="s">
        <v>600</v>
      </c>
      <c r="E282" s="9" t="s">
        <v>66</v>
      </c>
      <c r="F282" s="9" t="s">
        <v>238</v>
      </c>
      <c r="G282" s="9" t="s">
        <v>263</v>
      </c>
      <c r="H282" s="63">
        <v>-47750</v>
      </c>
      <c r="I282" s="63">
        <v>0</v>
      </c>
      <c r="J282" s="63">
        <v>0</v>
      </c>
      <c r="K282" s="63">
        <v>-3000</v>
      </c>
      <c r="L282" s="63">
        <v>-5000</v>
      </c>
      <c r="M282" s="63">
        <v>-5000</v>
      </c>
      <c r="N282" s="63">
        <v>-5000</v>
      </c>
      <c r="O282" s="63">
        <v>-5000</v>
      </c>
      <c r="P282" s="63">
        <v>-5000</v>
      </c>
      <c r="Q282" s="63">
        <v>-5000</v>
      </c>
      <c r="R282" s="63">
        <v>-5000</v>
      </c>
      <c r="S282" s="63">
        <v>-5000</v>
      </c>
      <c r="T282" s="63">
        <v>-4750</v>
      </c>
      <c r="U282" s="63"/>
      <c r="V282" s="1" t="s">
        <v>957</v>
      </c>
      <c r="W282" s="6"/>
      <c r="X282" s="6">
        <v>5</v>
      </c>
      <c r="Y282" s="6">
        <v>-1</v>
      </c>
      <c r="Z282" s="6" t="s">
        <v>568</v>
      </c>
      <c r="AA282" s="6"/>
      <c r="AB282" s="6" t="s">
        <v>599</v>
      </c>
      <c r="AC282" s="6" t="s">
        <v>264</v>
      </c>
      <c r="AD282" s="6"/>
      <c r="AE282" s="6">
        <v>-47750</v>
      </c>
      <c r="AF282" s="6">
        <v>-3000</v>
      </c>
      <c r="AG282" s="6">
        <v>-15000</v>
      </c>
      <c r="AH282" s="6">
        <v>-15000</v>
      </c>
      <c r="AI282" s="6">
        <v>-14750</v>
      </c>
      <c r="AM282" s="6" t="e">
        <f>_xlfn.XLOOKUP($C282,#REF!,#REF!,"-",0)</f>
        <v>#REF!</v>
      </c>
      <c r="AN282" s="10">
        <f t="shared" si="4"/>
        <v>-1</v>
      </c>
    </row>
    <row r="283" spans="1:40" x14ac:dyDescent="0.25">
      <c r="A283" s="6" t="str">
        <f>IF(IFERROR(VLOOKUP($C283,#REF!,2,0),$C283)="Accion",CONCATENATE(IFERROR(VLOOKUP($C283,#REF!,2,0),$C283)," - ",E283),IFERROR(VLOOKUP($C283,#REF!,2,0),$C283))</f>
        <v>International Atomic Energy Agency</v>
      </c>
      <c r="B283" s="9" t="s">
        <v>182</v>
      </c>
      <c r="C283" s="1" t="s">
        <v>84</v>
      </c>
      <c r="D283" s="1" t="s">
        <v>41</v>
      </c>
      <c r="E283" s="9" t="s">
        <v>66</v>
      </c>
      <c r="F283" s="9" t="s">
        <v>238</v>
      </c>
      <c r="G283" s="9" t="s">
        <v>263</v>
      </c>
      <c r="H283" s="63">
        <v>-77700</v>
      </c>
      <c r="I283" s="63">
        <v>0</v>
      </c>
      <c r="J283" s="63">
        <v>0</v>
      </c>
      <c r="K283" s="63">
        <v>0</v>
      </c>
      <c r="L283" s="63">
        <v>0</v>
      </c>
      <c r="M283" s="63">
        <v>0</v>
      </c>
      <c r="N283" s="63">
        <v>0</v>
      </c>
      <c r="O283" s="63">
        <v>-7700</v>
      </c>
      <c r="P283" s="63">
        <v>-14000</v>
      </c>
      <c r="Q283" s="63">
        <v>-14000</v>
      </c>
      <c r="R283" s="63">
        <v>-14000</v>
      </c>
      <c r="S283" s="63">
        <v>-14000</v>
      </c>
      <c r="T283" s="63">
        <v>-14000</v>
      </c>
      <c r="U283" s="63"/>
      <c r="V283" s="1" t="s">
        <v>958</v>
      </c>
      <c r="W283" s="6"/>
      <c r="X283" s="6">
        <v>5</v>
      </c>
      <c r="Y283" s="6">
        <v>-1</v>
      </c>
      <c r="Z283" s="6" t="s">
        <v>568</v>
      </c>
      <c r="AA283" s="6"/>
      <c r="AB283" s="6" t="s">
        <v>182</v>
      </c>
      <c r="AC283" s="6" t="s">
        <v>264</v>
      </c>
      <c r="AD283" s="6"/>
      <c r="AE283" s="6">
        <v>-77700</v>
      </c>
      <c r="AF283" s="6">
        <v>0</v>
      </c>
      <c r="AG283" s="6">
        <v>0</v>
      </c>
      <c r="AH283" s="6">
        <v>-35700</v>
      </c>
      <c r="AI283" s="6">
        <v>-42000</v>
      </c>
      <c r="AM283" s="6" t="e">
        <f>_xlfn.XLOOKUP($C283,#REF!,#REF!,"-",0)</f>
        <v>#REF!</v>
      </c>
      <c r="AN283" s="10">
        <f t="shared" si="4"/>
        <v>-1</v>
      </c>
    </row>
    <row r="284" spans="1:40" x14ac:dyDescent="0.25"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M284" s="6" t="e">
        <f>_xlfn.XLOOKUP($C284,#REF!,#REF!,"-",0)</f>
        <v>#REF!</v>
      </c>
    </row>
    <row r="285" spans="1:40" x14ac:dyDescent="0.25">
      <c r="H285" s="38"/>
      <c r="M285" s="38"/>
      <c r="N285" s="38"/>
      <c r="AM285" s="6" t="e">
        <f>_xlfn.XLOOKUP($C285,#REF!,#REF!,"-",0)</f>
        <v>#REF!</v>
      </c>
    </row>
    <row r="286" spans="1:40" x14ac:dyDescent="0.25">
      <c r="H286" s="38"/>
      <c r="R286" s="38"/>
      <c r="S286" s="38"/>
      <c r="T286" s="38"/>
      <c r="AM286" s="6" t="e">
        <f>_xlfn.XLOOKUP($C286,#REF!,#REF!,"-",0)</f>
        <v>#REF!</v>
      </c>
    </row>
    <row r="287" spans="1:40" x14ac:dyDescent="0.25">
      <c r="H287" s="38"/>
      <c r="P287" s="40"/>
      <c r="S287" s="40"/>
      <c r="AM287" s="6" t="e">
        <f>_xlfn.XLOOKUP($C287,#REF!,#REF!,"-",0)</f>
        <v>#REF!</v>
      </c>
    </row>
    <row r="288" spans="1:40" x14ac:dyDescent="0.25">
      <c r="S288" s="40"/>
      <c r="AM288" s="6" t="e">
        <f>_xlfn.XLOOKUP($C288,#REF!,#REF!,"-",0)</f>
        <v>#REF!</v>
      </c>
    </row>
    <row r="289" spans="2:39" x14ac:dyDescent="0.25">
      <c r="AM289" s="6" t="e">
        <f>_xlfn.XLOOKUP($C289,#REF!,#REF!,"-",0)</f>
        <v>#REF!</v>
      </c>
    </row>
    <row r="290" spans="2:39" x14ac:dyDescent="0.25">
      <c r="AM290" s="6" t="e">
        <f>_xlfn.XLOOKUP($C290,#REF!,#REF!,"-",0)</f>
        <v>#REF!</v>
      </c>
    </row>
    <row r="291" spans="2:39" x14ac:dyDescent="0.25">
      <c r="AM291" s="6" t="e">
        <f>_xlfn.XLOOKUP($C291,#REF!,#REF!,"-",0)</f>
        <v>#REF!</v>
      </c>
    </row>
    <row r="292" spans="2:39" x14ac:dyDescent="0.25">
      <c r="AM292" s="6" t="e">
        <f>_xlfn.XLOOKUP($C292,#REF!,#REF!,"-",0)</f>
        <v>#REF!</v>
      </c>
    </row>
    <row r="293" spans="2:39" x14ac:dyDescent="0.25">
      <c r="AM293" s="6" t="e">
        <f>_xlfn.XLOOKUP($C293,#REF!,#REF!,"-",0)</f>
        <v>#REF!</v>
      </c>
    </row>
    <row r="294" spans="2:39" x14ac:dyDescent="0.25">
      <c r="AM294" s="6" t="e">
        <f>_xlfn.XLOOKUP($C294,#REF!,#REF!,"-",0)</f>
        <v>#REF!</v>
      </c>
    </row>
    <row r="295" spans="2:39" x14ac:dyDescent="0.25">
      <c r="AM295" s="6" t="e">
        <f>_xlfn.XLOOKUP($C295,#REF!,#REF!,"-",0)</f>
        <v>#REF!</v>
      </c>
    </row>
    <row r="296" spans="2:39" x14ac:dyDescent="0.25">
      <c r="AM296" s="6" t="e">
        <f>_xlfn.XLOOKUP($C296,#REF!,#REF!,"-",0)</f>
        <v>#REF!</v>
      </c>
    </row>
    <row r="297" spans="2:39" x14ac:dyDescent="0.25">
      <c r="AM297" s="6" t="e">
        <f>_xlfn.XLOOKUP($C297,#REF!,#REF!,"-",0)</f>
        <v>#REF!</v>
      </c>
    </row>
    <row r="298" spans="2:39" s="38" customFormat="1" x14ac:dyDescent="0.25">
      <c r="C298" s="57"/>
      <c r="D298" s="58"/>
      <c r="AM298" s="6" t="e">
        <f>_xlfn.XLOOKUP($C298,#REF!,#REF!,"-",0)</f>
        <v>#REF!</v>
      </c>
    </row>
    <row r="299" spans="2:39" s="38" customFormat="1" x14ac:dyDescent="0.25">
      <c r="B299" s="64"/>
      <c r="C299" s="61"/>
      <c r="D299" s="65"/>
      <c r="AM299" s="6" t="e">
        <f>_xlfn.XLOOKUP($C299,#REF!,#REF!,"-",0)</f>
        <v>#REF!</v>
      </c>
    </row>
    <row r="300" spans="2:39" s="38" customFormat="1" x14ac:dyDescent="0.25">
      <c r="B300" s="64"/>
      <c r="C300" s="61"/>
      <c r="D300" s="65"/>
      <c r="AM300" s="6" t="e">
        <f>_xlfn.XLOOKUP($C300,#REF!,#REF!,"-",0)</f>
        <v>#REF!</v>
      </c>
    </row>
    <row r="301" spans="2:39" s="38" customFormat="1" x14ac:dyDescent="0.25">
      <c r="B301" s="64"/>
      <c r="C301" s="61"/>
      <c r="D301" s="65"/>
      <c r="AM301" s="6" t="e">
        <f>_xlfn.XLOOKUP($C301,#REF!,#REF!,"-",0)</f>
        <v>#REF!</v>
      </c>
    </row>
    <row r="302" spans="2:39" s="38" customFormat="1" x14ac:dyDescent="0.25">
      <c r="B302" s="64"/>
      <c r="C302" s="61"/>
      <c r="D302" s="65"/>
      <c r="AM302" s="6" t="e">
        <f>_xlfn.XLOOKUP($C302,#REF!,#REF!,"-",0)</f>
        <v>#REF!</v>
      </c>
    </row>
    <row r="303" spans="2:39" s="38" customFormat="1" x14ac:dyDescent="0.25">
      <c r="B303" s="64"/>
      <c r="C303" s="61"/>
      <c r="D303" s="65"/>
      <c r="AM303" s="6" t="e">
        <f>_xlfn.XLOOKUP($C303,#REF!,#REF!,"-",0)</f>
        <v>#REF!</v>
      </c>
    </row>
    <row r="304" spans="2:39" s="38" customFormat="1" x14ac:dyDescent="0.25">
      <c r="B304" s="64"/>
      <c r="C304" s="61"/>
      <c r="D304" s="65"/>
      <c r="AM304" s="6" t="e">
        <f>_xlfn.XLOOKUP($C304,#REF!,#REF!,"-",0)</f>
        <v>#REF!</v>
      </c>
    </row>
    <row r="305" spans="2:39" s="38" customFormat="1" x14ac:dyDescent="0.25">
      <c r="B305" s="64"/>
      <c r="C305" s="61"/>
      <c r="D305" s="65"/>
      <c r="AM305" s="6" t="e">
        <f>_xlfn.XLOOKUP($C305,#REF!,#REF!,"-",0)</f>
        <v>#REF!</v>
      </c>
    </row>
    <row r="306" spans="2:39" s="38" customFormat="1" x14ac:dyDescent="0.25">
      <c r="B306" s="64"/>
      <c r="C306" s="61"/>
      <c r="D306" s="65"/>
      <c r="AM306" s="6" t="e">
        <f>_xlfn.XLOOKUP($C306,#REF!,#REF!,"-",0)</f>
        <v>#REF!</v>
      </c>
    </row>
    <row r="307" spans="2:39" s="38" customFormat="1" x14ac:dyDescent="0.25">
      <c r="B307" s="64"/>
      <c r="C307" s="61"/>
      <c r="D307" s="65"/>
      <c r="AM307" s="6" t="e">
        <f>_xlfn.XLOOKUP($C307,#REF!,#REF!,"-",0)</f>
        <v>#REF!</v>
      </c>
    </row>
    <row r="308" spans="2:39" s="38" customFormat="1" x14ac:dyDescent="0.25">
      <c r="B308" s="64"/>
      <c r="C308" s="61"/>
      <c r="D308" s="65"/>
      <c r="AM308" s="6" t="e">
        <f>_xlfn.XLOOKUP($C308,#REF!,#REF!,"-",0)</f>
        <v>#REF!</v>
      </c>
    </row>
    <row r="309" spans="2:39" s="38" customFormat="1" x14ac:dyDescent="0.25">
      <c r="B309" s="64"/>
      <c r="C309" s="61"/>
      <c r="D309" s="65"/>
      <c r="AM309" s="6" t="e">
        <f>_xlfn.XLOOKUP($C309,#REF!,#REF!,"-",0)</f>
        <v>#REF!</v>
      </c>
    </row>
    <row r="310" spans="2:39" s="38" customFormat="1" x14ac:dyDescent="0.25">
      <c r="B310" s="64"/>
      <c r="C310" s="61"/>
      <c r="D310" s="65"/>
      <c r="AM310" s="6" t="e">
        <f>_xlfn.XLOOKUP($C310,#REF!,#REF!,"-",0)</f>
        <v>#REF!</v>
      </c>
    </row>
    <row r="311" spans="2:39" s="38" customFormat="1" x14ac:dyDescent="0.25">
      <c r="B311" s="64"/>
      <c r="C311" s="61"/>
      <c r="D311" s="65"/>
      <c r="AM311" s="6" t="e">
        <f>_xlfn.XLOOKUP($C311,#REF!,#REF!,"-",0)</f>
        <v>#REF!</v>
      </c>
    </row>
    <row r="312" spans="2:39" s="38" customFormat="1" x14ac:dyDescent="0.25">
      <c r="B312" s="64"/>
      <c r="C312" s="61"/>
      <c r="D312" s="65"/>
      <c r="AM312" s="6" t="e">
        <f>_xlfn.XLOOKUP($C312,#REF!,#REF!,"-",0)</f>
        <v>#REF!</v>
      </c>
    </row>
    <row r="313" spans="2:39" s="38" customFormat="1" x14ac:dyDescent="0.25">
      <c r="B313" s="64"/>
      <c r="C313" s="61"/>
      <c r="D313" s="65"/>
      <c r="AM313" s="6" t="e">
        <f>_xlfn.XLOOKUP($C313,#REF!,#REF!,"-",0)</f>
        <v>#REF!</v>
      </c>
    </row>
    <row r="314" spans="2:39" s="38" customFormat="1" x14ac:dyDescent="0.25">
      <c r="B314" s="64"/>
      <c r="C314" s="61"/>
      <c r="D314" s="65"/>
      <c r="AM314" s="6" t="e">
        <f>_xlfn.XLOOKUP($C314,#REF!,#REF!,"-",0)</f>
        <v>#REF!</v>
      </c>
    </row>
    <row r="315" spans="2:39" s="38" customFormat="1" x14ac:dyDescent="0.25">
      <c r="B315" s="64"/>
      <c r="C315" s="61"/>
      <c r="D315" s="65"/>
      <c r="AM315" s="6" t="e">
        <f>_xlfn.XLOOKUP($C315,#REF!,#REF!,"-",0)</f>
        <v>#REF!</v>
      </c>
    </row>
    <row r="316" spans="2:39" s="38" customFormat="1" x14ac:dyDescent="0.25">
      <c r="B316" s="64"/>
      <c r="C316" s="61"/>
      <c r="D316" s="65"/>
      <c r="AM316" s="6" t="e">
        <f>_xlfn.XLOOKUP($C316,#REF!,#REF!,"-",0)</f>
        <v>#REF!</v>
      </c>
    </row>
    <row r="317" spans="2:39" s="38" customFormat="1" x14ac:dyDescent="0.25">
      <c r="B317" s="64"/>
      <c r="C317" s="61"/>
      <c r="D317" s="65"/>
      <c r="AM317" s="6" t="e">
        <f>_xlfn.XLOOKUP($C317,#REF!,#REF!,"-",0)</f>
        <v>#REF!</v>
      </c>
    </row>
    <row r="318" spans="2:39" s="38" customFormat="1" x14ac:dyDescent="0.25">
      <c r="B318" s="64"/>
      <c r="C318" s="61"/>
      <c r="D318" s="65"/>
      <c r="AM318" s="6" t="e">
        <f>_xlfn.XLOOKUP($C318,#REF!,#REF!,"-",0)</f>
        <v>#REF!</v>
      </c>
    </row>
    <row r="319" spans="2:39" s="38" customFormat="1" x14ac:dyDescent="0.25">
      <c r="B319" s="64"/>
      <c r="C319" s="61"/>
      <c r="D319" s="65"/>
      <c r="AM319" s="6" t="e">
        <f>_xlfn.XLOOKUP($C319,#REF!,#REF!,"-",0)</f>
        <v>#REF!</v>
      </c>
    </row>
    <row r="320" spans="2:39" s="38" customFormat="1" x14ac:dyDescent="0.25">
      <c r="B320" s="64"/>
      <c r="C320" s="61"/>
      <c r="D320" s="65"/>
      <c r="AM320" s="6" t="e">
        <f>_xlfn.XLOOKUP($C320,#REF!,#REF!,"-",0)</f>
        <v>#REF!</v>
      </c>
    </row>
    <row r="321" spans="2:39" s="38" customFormat="1" x14ac:dyDescent="0.25">
      <c r="B321" s="64"/>
      <c r="C321" s="61"/>
      <c r="D321" s="65"/>
      <c r="AM321" s="6" t="e">
        <f>_xlfn.XLOOKUP($C321,#REF!,#REF!,"-",0)</f>
        <v>#REF!</v>
      </c>
    </row>
    <row r="322" spans="2:39" s="38" customFormat="1" x14ac:dyDescent="0.25">
      <c r="B322" s="64"/>
      <c r="C322" s="61"/>
      <c r="D322" s="65"/>
      <c r="AM322" s="6" t="e">
        <f>_xlfn.XLOOKUP($C322,#REF!,#REF!,"-",0)</f>
        <v>#REF!</v>
      </c>
    </row>
    <row r="323" spans="2:39" s="38" customFormat="1" x14ac:dyDescent="0.25">
      <c r="B323" s="64"/>
      <c r="C323" s="61"/>
      <c r="D323" s="65"/>
      <c r="AM323" s="6" t="e">
        <f>_xlfn.XLOOKUP($C323,#REF!,#REF!,"-",0)</f>
        <v>#REF!</v>
      </c>
    </row>
    <row r="324" spans="2:39" s="38" customFormat="1" x14ac:dyDescent="0.25">
      <c r="B324" s="64"/>
      <c r="C324" s="61"/>
      <c r="D324" s="65"/>
      <c r="AM324" s="6" t="e">
        <f>_xlfn.XLOOKUP($C324,#REF!,#REF!,"-",0)</f>
        <v>#REF!</v>
      </c>
    </row>
    <row r="325" spans="2:39" s="38" customFormat="1" x14ac:dyDescent="0.25">
      <c r="B325" s="64"/>
      <c r="C325" s="61"/>
      <c r="D325" s="65"/>
      <c r="AM325" s="6" t="e">
        <f>_xlfn.XLOOKUP($C325,#REF!,#REF!,"-",0)</f>
        <v>#REF!</v>
      </c>
    </row>
    <row r="326" spans="2:39" s="38" customFormat="1" x14ac:dyDescent="0.25">
      <c r="B326" s="64"/>
      <c r="C326" s="61"/>
      <c r="D326" s="65"/>
      <c r="AM326" s="6" t="e">
        <f>_xlfn.XLOOKUP($C326,#REF!,#REF!,"-",0)</f>
        <v>#REF!</v>
      </c>
    </row>
    <row r="327" spans="2:39" s="38" customFormat="1" x14ac:dyDescent="0.25">
      <c r="B327" s="64"/>
      <c r="C327" s="61"/>
      <c r="D327" s="65"/>
      <c r="AM327" s="6" t="e">
        <f>_xlfn.XLOOKUP($C327,#REF!,#REF!,"-",0)</f>
        <v>#REF!</v>
      </c>
    </row>
    <row r="328" spans="2:39" s="38" customFormat="1" x14ac:dyDescent="0.25">
      <c r="B328" s="64"/>
      <c r="C328" s="61"/>
      <c r="D328" s="65"/>
      <c r="AM328" s="6" t="e">
        <f>_xlfn.XLOOKUP($C328,#REF!,#REF!,"-",0)</f>
        <v>#REF!</v>
      </c>
    </row>
    <row r="329" spans="2:39" s="38" customFormat="1" x14ac:dyDescent="0.25">
      <c r="B329" s="64"/>
      <c r="C329" s="61"/>
      <c r="D329" s="65"/>
      <c r="AM329" s="6" t="e">
        <f>_xlfn.XLOOKUP($C329,#REF!,#REF!,"-",0)</f>
        <v>#REF!</v>
      </c>
    </row>
    <row r="330" spans="2:39" s="38" customFormat="1" x14ac:dyDescent="0.25">
      <c r="B330" s="64"/>
      <c r="C330" s="61"/>
      <c r="D330" s="65"/>
      <c r="AM330" s="6" t="e">
        <f>_xlfn.XLOOKUP($C330,#REF!,#REF!,"-",0)</f>
        <v>#REF!</v>
      </c>
    </row>
    <row r="331" spans="2:39" s="38" customFormat="1" x14ac:dyDescent="0.25">
      <c r="B331" s="64"/>
      <c r="C331" s="61"/>
      <c r="D331" s="65"/>
      <c r="AM331" s="6" t="e">
        <f>_xlfn.XLOOKUP($C331,#REF!,#REF!,"-",0)</f>
        <v>#REF!</v>
      </c>
    </row>
    <row r="332" spans="2:39" s="38" customFormat="1" x14ac:dyDescent="0.25">
      <c r="B332" s="64"/>
      <c r="C332" s="61"/>
      <c r="D332" s="65"/>
      <c r="AM332" s="6" t="e">
        <f>_xlfn.XLOOKUP($C332,#REF!,#REF!,"-",0)</f>
        <v>#REF!</v>
      </c>
    </row>
    <row r="333" spans="2:39" s="38" customFormat="1" x14ac:dyDescent="0.25">
      <c r="B333" s="64"/>
      <c r="C333" s="61"/>
      <c r="D333" s="65"/>
      <c r="AM333" s="6" t="e">
        <f>_xlfn.XLOOKUP($C333,#REF!,#REF!,"-",0)</f>
        <v>#REF!</v>
      </c>
    </row>
    <row r="334" spans="2:39" s="38" customFormat="1" x14ac:dyDescent="0.25">
      <c r="B334" s="64"/>
      <c r="C334" s="61"/>
      <c r="D334" s="65"/>
      <c r="AM334" s="6" t="e">
        <f>_xlfn.XLOOKUP($C334,#REF!,#REF!,"-",0)</f>
        <v>#REF!</v>
      </c>
    </row>
    <row r="335" spans="2:39" s="38" customFormat="1" x14ac:dyDescent="0.25">
      <c r="B335" s="64"/>
      <c r="C335" s="61"/>
      <c r="D335" s="65"/>
      <c r="AM335" s="6" t="e">
        <f>_xlfn.XLOOKUP($C335,#REF!,#REF!,"-",0)</f>
        <v>#REF!</v>
      </c>
    </row>
    <row r="336" spans="2:39" s="38" customFormat="1" x14ac:dyDescent="0.25">
      <c r="B336" s="64"/>
      <c r="C336" s="61"/>
      <c r="D336" s="65"/>
      <c r="AM336" s="6" t="e">
        <f>_xlfn.XLOOKUP($C336,#REF!,#REF!,"-",0)</f>
        <v>#REF!</v>
      </c>
    </row>
    <row r="337" spans="2:39" s="38" customFormat="1" x14ac:dyDescent="0.25">
      <c r="B337" s="64"/>
      <c r="C337" s="61"/>
      <c r="D337" s="65"/>
      <c r="AM337" s="6" t="e">
        <f>_xlfn.XLOOKUP($C337,#REF!,#REF!,"-",0)</f>
        <v>#REF!</v>
      </c>
    </row>
    <row r="338" spans="2:39" s="38" customFormat="1" x14ac:dyDescent="0.25">
      <c r="B338" s="64"/>
      <c r="C338" s="61"/>
      <c r="D338" s="65"/>
      <c r="AM338" s="6" t="e">
        <f>_xlfn.XLOOKUP($C338,#REF!,#REF!,"-",0)</f>
        <v>#REF!</v>
      </c>
    </row>
    <row r="339" spans="2:39" s="38" customFormat="1" x14ac:dyDescent="0.25">
      <c r="B339" s="64"/>
      <c r="C339" s="61"/>
      <c r="D339" s="65"/>
      <c r="AM339" s="6" t="e">
        <f>_xlfn.XLOOKUP($C339,#REF!,#REF!,"-",0)</f>
        <v>#REF!</v>
      </c>
    </row>
    <row r="340" spans="2:39" s="38" customFormat="1" x14ac:dyDescent="0.25">
      <c r="B340" s="64"/>
      <c r="C340" s="61"/>
      <c r="D340" s="65"/>
      <c r="AM340" s="6" t="e">
        <f>_xlfn.XLOOKUP($C340,#REF!,#REF!,"-",0)</f>
        <v>#REF!</v>
      </c>
    </row>
    <row r="341" spans="2:39" s="38" customFormat="1" x14ac:dyDescent="0.25">
      <c r="B341" s="64"/>
      <c r="C341" s="61"/>
      <c r="D341" s="65"/>
      <c r="AM341" s="6" t="e">
        <f>_xlfn.XLOOKUP($C341,#REF!,#REF!,"-",0)</f>
        <v>#REF!</v>
      </c>
    </row>
    <row r="342" spans="2:39" s="38" customFormat="1" x14ac:dyDescent="0.25">
      <c r="B342" s="64"/>
      <c r="C342" s="61"/>
      <c r="D342" s="65"/>
      <c r="AM342" s="6" t="e">
        <f>_xlfn.XLOOKUP($C342,#REF!,#REF!,"-",0)</f>
        <v>#REF!</v>
      </c>
    </row>
    <row r="343" spans="2:39" s="38" customFormat="1" x14ac:dyDescent="0.25">
      <c r="B343" s="64"/>
      <c r="C343" s="61"/>
      <c r="D343" s="65"/>
      <c r="AM343" s="6" t="e">
        <f>_xlfn.XLOOKUP($C343,#REF!,#REF!,"-",0)</f>
        <v>#REF!</v>
      </c>
    </row>
    <row r="344" spans="2:39" s="38" customFormat="1" x14ac:dyDescent="0.25">
      <c r="B344" s="64"/>
      <c r="C344" s="61"/>
      <c r="D344" s="65"/>
      <c r="AM344" s="6" t="e">
        <f>_xlfn.XLOOKUP($C344,#REF!,#REF!,"-",0)</f>
        <v>#REF!</v>
      </c>
    </row>
    <row r="345" spans="2:39" s="38" customFormat="1" x14ac:dyDescent="0.25">
      <c r="B345" s="64"/>
      <c r="C345" s="61"/>
      <c r="D345" s="65"/>
      <c r="AM345" s="6" t="e">
        <f>_xlfn.XLOOKUP($C345,#REF!,#REF!,"-",0)</f>
        <v>#REF!</v>
      </c>
    </row>
    <row r="346" spans="2:39" s="38" customFormat="1" x14ac:dyDescent="0.25">
      <c r="B346" s="64"/>
      <c r="C346" s="61"/>
      <c r="D346" s="65"/>
      <c r="AM346" s="6" t="e">
        <f>_xlfn.XLOOKUP($C346,#REF!,#REF!,"-",0)</f>
        <v>#REF!</v>
      </c>
    </row>
    <row r="347" spans="2:39" s="38" customFormat="1" x14ac:dyDescent="0.25">
      <c r="B347" s="64"/>
      <c r="C347" s="61"/>
      <c r="D347" s="65"/>
      <c r="AM347" s="6" t="e">
        <f>_xlfn.XLOOKUP($C347,#REF!,#REF!,"-",0)</f>
        <v>#REF!</v>
      </c>
    </row>
    <row r="348" spans="2:39" s="38" customFormat="1" x14ac:dyDescent="0.25">
      <c r="B348" s="64"/>
      <c r="C348" s="61"/>
      <c r="D348" s="65"/>
      <c r="AM348" s="6" t="e">
        <f>_xlfn.XLOOKUP($C348,#REF!,#REF!,"-",0)</f>
        <v>#REF!</v>
      </c>
    </row>
    <row r="349" spans="2:39" s="38" customFormat="1" x14ac:dyDescent="0.25">
      <c r="B349" s="64"/>
      <c r="C349" s="61"/>
      <c r="D349" s="65"/>
      <c r="AM349" s="6" t="e">
        <f>_xlfn.XLOOKUP($C349,#REF!,#REF!,"-",0)</f>
        <v>#REF!</v>
      </c>
    </row>
    <row r="350" spans="2:39" s="38" customFormat="1" x14ac:dyDescent="0.25">
      <c r="B350" s="64"/>
      <c r="C350" s="61"/>
      <c r="D350" s="65"/>
      <c r="AM350" s="6" t="e">
        <f>_xlfn.XLOOKUP($C350,#REF!,#REF!,"-",0)</f>
        <v>#REF!</v>
      </c>
    </row>
    <row r="351" spans="2:39" s="38" customFormat="1" x14ac:dyDescent="0.25">
      <c r="B351" s="64"/>
      <c r="C351" s="61"/>
      <c r="D351" s="65"/>
      <c r="AM351" s="6" t="e">
        <f>_xlfn.XLOOKUP($C351,#REF!,#REF!,"-",0)</f>
        <v>#REF!</v>
      </c>
    </row>
    <row r="352" spans="2:39" s="38" customFormat="1" x14ac:dyDescent="0.25">
      <c r="B352" s="64"/>
      <c r="C352" s="61"/>
      <c r="D352" s="65"/>
      <c r="AM352" s="6" t="e">
        <f>_xlfn.XLOOKUP($C352,#REF!,#REF!,"-",0)</f>
        <v>#REF!</v>
      </c>
    </row>
    <row r="353" spans="2:39" s="38" customFormat="1" x14ac:dyDescent="0.25">
      <c r="B353" s="64"/>
      <c r="C353" s="61"/>
      <c r="D353" s="65"/>
      <c r="AM353" s="6" t="e">
        <f>_xlfn.XLOOKUP($C353,#REF!,#REF!,"-",0)</f>
        <v>#REF!</v>
      </c>
    </row>
    <row r="354" spans="2:39" s="38" customFormat="1" x14ac:dyDescent="0.25">
      <c r="B354" s="64"/>
      <c r="C354" s="61"/>
      <c r="D354" s="65"/>
      <c r="AM354" s="6" t="e">
        <f>_xlfn.XLOOKUP($C354,#REF!,#REF!,"-",0)</f>
        <v>#REF!</v>
      </c>
    </row>
    <row r="355" spans="2:39" s="38" customFormat="1" x14ac:dyDescent="0.25">
      <c r="B355" s="64"/>
      <c r="C355" s="61"/>
      <c r="D355" s="65"/>
      <c r="AM355" s="6" t="e">
        <f>_xlfn.XLOOKUP($C355,#REF!,#REF!,"-",0)</f>
        <v>#REF!</v>
      </c>
    </row>
    <row r="356" spans="2:39" s="38" customFormat="1" x14ac:dyDescent="0.25">
      <c r="B356" s="64"/>
      <c r="C356" s="61"/>
      <c r="D356" s="65"/>
      <c r="AM356" s="6" t="e">
        <f>_xlfn.XLOOKUP($C356,#REF!,#REF!,"-",0)</f>
        <v>#REF!</v>
      </c>
    </row>
    <row r="357" spans="2:39" s="38" customFormat="1" x14ac:dyDescent="0.25">
      <c r="B357" s="64"/>
      <c r="C357" s="61"/>
      <c r="D357" s="65"/>
      <c r="AM357" s="6" t="e">
        <f>_xlfn.XLOOKUP($C357,#REF!,#REF!,"-",0)</f>
        <v>#REF!</v>
      </c>
    </row>
    <row r="358" spans="2:39" s="38" customFormat="1" x14ac:dyDescent="0.25">
      <c r="B358" s="64"/>
      <c r="C358" s="61"/>
      <c r="D358" s="65"/>
      <c r="AM358" s="6" t="e">
        <f>_xlfn.XLOOKUP($C358,#REF!,#REF!,"-",0)</f>
        <v>#REF!</v>
      </c>
    </row>
    <row r="359" spans="2:39" s="38" customFormat="1" x14ac:dyDescent="0.25">
      <c r="B359" s="64"/>
      <c r="C359" s="61"/>
      <c r="D359" s="65"/>
      <c r="AM359" s="6" t="e">
        <f>_xlfn.XLOOKUP($C359,#REF!,#REF!,"-",0)</f>
        <v>#REF!</v>
      </c>
    </row>
    <row r="360" spans="2:39" s="38" customFormat="1" x14ac:dyDescent="0.25">
      <c r="B360" s="64"/>
      <c r="C360" s="61"/>
      <c r="D360" s="65"/>
      <c r="AM360" s="6" t="e">
        <f>_xlfn.XLOOKUP($C360,#REF!,#REF!,"-",0)</f>
        <v>#REF!</v>
      </c>
    </row>
    <row r="361" spans="2:39" s="38" customFormat="1" x14ac:dyDescent="0.25">
      <c r="B361" s="64"/>
      <c r="C361" s="61"/>
      <c r="D361" s="65"/>
      <c r="AM361" s="6" t="e">
        <f>_xlfn.XLOOKUP($C361,#REF!,#REF!,"-",0)</f>
        <v>#REF!</v>
      </c>
    </row>
    <row r="362" spans="2:39" s="38" customFormat="1" x14ac:dyDescent="0.25">
      <c r="B362" s="64"/>
      <c r="C362" s="61"/>
      <c r="D362" s="65"/>
      <c r="AM362" s="6" t="e">
        <f>_xlfn.XLOOKUP($C362,#REF!,#REF!,"-",0)</f>
        <v>#REF!</v>
      </c>
    </row>
    <row r="363" spans="2:39" s="38" customFormat="1" x14ac:dyDescent="0.25">
      <c r="B363" s="64"/>
      <c r="C363" s="61"/>
      <c r="D363" s="65"/>
      <c r="AM363" s="6" t="e">
        <f>_xlfn.XLOOKUP($C363,#REF!,#REF!,"-",0)</f>
        <v>#REF!</v>
      </c>
    </row>
    <row r="364" spans="2:39" s="38" customFormat="1" x14ac:dyDescent="0.25">
      <c r="B364" s="64"/>
      <c r="C364" s="61"/>
      <c r="D364" s="65"/>
      <c r="AM364" s="6" t="e">
        <f>_xlfn.XLOOKUP($C364,#REF!,#REF!,"-",0)</f>
        <v>#REF!</v>
      </c>
    </row>
    <row r="365" spans="2:39" s="38" customFormat="1" x14ac:dyDescent="0.25">
      <c r="B365" s="64"/>
      <c r="C365" s="61"/>
      <c r="D365" s="65"/>
      <c r="AM365" s="6" t="e">
        <f>_xlfn.XLOOKUP($C365,#REF!,#REF!,"-",0)</f>
        <v>#REF!</v>
      </c>
    </row>
    <row r="366" spans="2:39" s="38" customFormat="1" x14ac:dyDescent="0.25">
      <c r="B366" s="64"/>
      <c r="C366" s="61"/>
      <c r="D366" s="65"/>
      <c r="AM366" s="6" t="e">
        <f>_xlfn.XLOOKUP($C366,#REF!,#REF!,"-",0)</f>
        <v>#REF!</v>
      </c>
    </row>
    <row r="367" spans="2:39" s="38" customFormat="1" x14ac:dyDescent="0.25">
      <c r="B367" s="64"/>
      <c r="C367" s="61"/>
      <c r="D367" s="65"/>
      <c r="AM367" s="6" t="e">
        <f>_xlfn.XLOOKUP($C367,#REF!,#REF!,"-",0)</f>
        <v>#REF!</v>
      </c>
    </row>
    <row r="368" spans="2:39" s="38" customFormat="1" x14ac:dyDescent="0.25">
      <c r="B368" s="64"/>
      <c r="C368" s="61"/>
      <c r="D368" s="65"/>
      <c r="AM368" s="6" t="e">
        <f>_xlfn.XLOOKUP($C368,#REF!,#REF!,"-",0)</f>
        <v>#REF!</v>
      </c>
    </row>
    <row r="369" spans="2:39" s="38" customFormat="1" x14ac:dyDescent="0.25">
      <c r="B369" s="64"/>
      <c r="C369" s="61"/>
      <c r="D369" s="65"/>
      <c r="AM369" s="6" t="e">
        <f>_xlfn.XLOOKUP($C369,#REF!,#REF!,"-",0)</f>
        <v>#REF!</v>
      </c>
    </row>
    <row r="370" spans="2:39" s="38" customFormat="1" x14ac:dyDescent="0.25">
      <c r="B370" s="64"/>
      <c r="C370" s="61"/>
      <c r="D370" s="65"/>
      <c r="AM370" s="6" t="e">
        <f>_xlfn.XLOOKUP($C370,#REF!,#REF!,"-",0)</f>
        <v>#REF!</v>
      </c>
    </row>
    <row r="371" spans="2:39" s="38" customFormat="1" x14ac:dyDescent="0.25">
      <c r="B371" s="64"/>
      <c r="C371" s="61"/>
      <c r="D371" s="65"/>
      <c r="AM371" s="6" t="e">
        <f>_xlfn.XLOOKUP($C371,#REF!,#REF!,"-",0)</f>
        <v>#REF!</v>
      </c>
    </row>
    <row r="372" spans="2:39" s="38" customFormat="1" x14ac:dyDescent="0.25">
      <c r="B372" s="64"/>
      <c r="C372" s="61"/>
      <c r="D372" s="65"/>
      <c r="AM372" s="6" t="e">
        <f>_xlfn.XLOOKUP($C372,#REF!,#REF!,"-",0)</f>
        <v>#REF!</v>
      </c>
    </row>
    <row r="373" spans="2:39" s="38" customFormat="1" x14ac:dyDescent="0.25">
      <c r="B373" s="64"/>
      <c r="C373" s="61"/>
      <c r="D373" s="65"/>
      <c r="AM373" s="6" t="e">
        <f>_xlfn.XLOOKUP($C373,#REF!,#REF!,"-",0)</f>
        <v>#REF!</v>
      </c>
    </row>
    <row r="374" spans="2:39" s="38" customFormat="1" x14ac:dyDescent="0.25">
      <c r="B374" s="64"/>
      <c r="C374" s="61"/>
      <c r="D374" s="65"/>
      <c r="AM374" s="6" t="e">
        <f>_xlfn.XLOOKUP($C374,#REF!,#REF!,"-",0)</f>
        <v>#REF!</v>
      </c>
    </row>
    <row r="375" spans="2:39" s="38" customFormat="1" x14ac:dyDescent="0.25">
      <c r="B375" s="64"/>
      <c r="C375" s="61"/>
      <c r="D375" s="65"/>
      <c r="AM375" s="6" t="e">
        <f>_xlfn.XLOOKUP($C375,#REF!,#REF!,"-",0)</f>
        <v>#REF!</v>
      </c>
    </row>
    <row r="376" spans="2:39" s="38" customFormat="1" x14ac:dyDescent="0.25">
      <c r="B376" s="64"/>
      <c r="C376" s="61"/>
      <c r="D376" s="65"/>
      <c r="AM376" s="6" t="e">
        <f>_xlfn.XLOOKUP($C376,#REF!,#REF!,"-",0)</f>
        <v>#REF!</v>
      </c>
    </row>
    <row r="377" spans="2:39" s="38" customFormat="1" x14ac:dyDescent="0.25">
      <c r="B377" s="64"/>
      <c r="C377" s="61"/>
      <c r="D377" s="65"/>
      <c r="AM377" s="6" t="e">
        <f>_xlfn.XLOOKUP($C377,#REF!,#REF!,"-",0)</f>
        <v>#REF!</v>
      </c>
    </row>
    <row r="378" spans="2:39" s="38" customFormat="1" x14ac:dyDescent="0.25">
      <c r="B378" s="64"/>
      <c r="C378" s="61"/>
      <c r="D378" s="65"/>
      <c r="AM378" s="6" t="e">
        <f>_xlfn.XLOOKUP($C378,#REF!,#REF!,"-",0)</f>
        <v>#REF!</v>
      </c>
    </row>
    <row r="379" spans="2:39" s="38" customFormat="1" x14ac:dyDescent="0.25">
      <c r="B379" s="64"/>
      <c r="C379" s="61"/>
      <c r="D379" s="65"/>
      <c r="AM379" s="6" t="e">
        <f>_xlfn.XLOOKUP($C379,#REF!,#REF!,"-",0)</f>
        <v>#REF!</v>
      </c>
    </row>
    <row r="380" spans="2:39" s="38" customFormat="1" x14ac:dyDescent="0.25">
      <c r="B380" s="64"/>
      <c r="C380" s="61"/>
      <c r="D380" s="65"/>
      <c r="AM380" s="6" t="e">
        <f>_xlfn.XLOOKUP($C380,#REF!,#REF!,"-",0)</f>
        <v>#REF!</v>
      </c>
    </row>
    <row r="381" spans="2:39" s="38" customFormat="1" x14ac:dyDescent="0.25">
      <c r="B381" s="64"/>
      <c r="C381" s="61"/>
      <c r="D381" s="65"/>
      <c r="AM381" s="6" t="e">
        <f>_xlfn.XLOOKUP($C381,#REF!,#REF!,"-",0)</f>
        <v>#REF!</v>
      </c>
    </row>
    <row r="382" spans="2:39" s="38" customFormat="1" x14ac:dyDescent="0.25">
      <c r="B382" s="64"/>
      <c r="C382" s="61"/>
      <c r="D382" s="65"/>
      <c r="AM382" s="6" t="e">
        <f>_xlfn.XLOOKUP($C382,#REF!,#REF!,"-",0)</f>
        <v>#REF!</v>
      </c>
    </row>
    <row r="383" spans="2:39" s="38" customFormat="1" x14ac:dyDescent="0.25">
      <c r="B383" s="64"/>
      <c r="C383" s="61"/>
      <c r="D383" s="65"/>
      <c r="AM383" s="6" t="e">
        <f>_xlfn.XLOOKUP($C383,#REF!,#REF!,"-",0)</f>
        <v>#REF!</v>
      </c>
    </row>
    <row r="384" spans="2:39" s="38" customFormat="1" x14ac:dyDescent="0.25">
      <c r="B384" s="64"/>
      <c r="C384" s="61"/>
      <c r="D384" s="65"/>
      <c r="AM384" s="6" t="e">
        <f>_xlfn.XLOOKUP($C384,#REF!,#REF!,"-",0)</f>
        <v>#REF!</v>
      </c>
    </row>
    <row r="385" spans="2:39" s="38" customFormat="1" x14ac:dyDescent="0.25">
      <c r="B385" s="64"/>
      <c r="C385" s="61"/>
      <c r="D385" s="65"/>
      <c r="AM385" s="6" t="e">
        <f>_xlfn.XLOOKUP($C385,#REF!,#REF!,"-",0)</f>
        <v>#REF!</v>
      </c>
    </row>
    <row r="386" spans="2:39" s="38" customFormat="1" x14ac:dyDescent="0.25">
      <c r="B386" s="64"/>
      <c r="C386" s="61"/>
      <c r="D386" s="65"/>
      <c r="AM386" s="6" t="e">
        <f>_xlfn.XLOOKUP($C386,#REF!,#REF!,"-",0)</f>
        <v>#REF!</v>
      </c>
    </row>
    <row r="387" spans="2:39" s="38" customFormat="1" x14ac:dyDescent="0.25">
      <c r="B387" s="64"/>
      <c r="C387" s="61"/>
      <c r="D387" s="65"/>
      <c r="AM387" s="6" t="e">
        <f>_xlfn.XLOOKUP($C387,#REF!,#REF!,"-",0)</f>
        <v>#REF!</v>
      </c>
    </row>
    <row r="388" spans="2:39" s="38" customFormat="1" x14ac:dyDescent="0.25">
      <c r="B388" s="64"/>
      <c r="C388" s="61"/>
      <c r="D388" s="65"/>
      <c r="AM388" s="6" t="e">
        <f>_xlfn.XLOOKUP($C388,#REF!,#REF!,"-",0)</f>
        <v>#REF!</v>
      </c>
    </row>
    <row r="389" spans="2:39" s="38" customFormat="1" x14ac:dyDescent="0.25">
      <c r="B389" s="64"/>
      <c r="C389" s="61"/>
      <c r="D389" s="65"/>
      <c r="AM389" s="6" t="e">
        <f>_xlfn.XLOOKUP($C389,#REF!,#REF!,"-",0)</f>
        <v>#REF!</v>
      </c>
    </row>
    <row r="390" spans="2:39" s="38" customFormat="1" x14ac:dyDescent="0.25">
      <c r="B390" s="64"/>
      <c r="C390" s="61"/>
      <c r="D390" s="65"/>
      <c r="AM390" s="6" t="e">
        <f>_xlfn.XLOOKUP($C390,#REF!,#REF!,"-",0)</f>
        <v>#REF!</v>
      </c>
    </row>
    <row r="391" spans="2:39" s="38" customFormat="1" x14ac:dyDescent="0.25">
      <c r="B391" s="64"/>
      <c r="C391" s="61"/>
      <c r="D391" s="65"/>
      <c r="AM391" s="6" t="e">
        <f>_xlfn.XLOOKUP($C391,#REF!,#REF!,"-",0)</f>
        <v>#REF!</v>
      </c>
    </row>
    <row r="392" spans="2:39" s="38" customFormat="1" x14ac:dyDescent="0.25">
      <c r="B392" s="64"/>
      <c r="C392" s="61"/>
      <c r="D392" s="65"/>
      <c r="AM392" s="6" t="e">
        <f>_xlfn.XLOOKUP($C392,#REF!,#REF!,"-",0)</f>
        <v>#REF!</v>
      </c>
    </row>
    <row r="393" spans="2:39" s="38" customFormat="1" x14ac:dyDescent="0.25">
      <c r="B393" s="64"/>
      <c r="C393" s="61"/>
      <c r="D393" s="65"/>
      <c r="AM393" s="6" t="e">
        <f>_xlfn.XLOOKUP($C393,#REF!,#REF!,"-",0)</f>
        <v>#REF!</v>
      </c>
    </row>
    <row r="394" spans="2:39" s="38" customFormat="1" x14ac:dyDescent="0.25">
      <c r="B394" s="64"/>
      <c r="C394" s="61"/>
      <c r="D394" s="65"/>
      <c r="AM394" s="6" t="e">
        <f>_xlfn.XLOOKUP($C394,#REF!,#REF!,"-",0)</f>
        <v>#REF!</v>
      </c>
    </row>
    <row r="395" spans="2:39" s="38" customFormat="1" x14ac:dyDescent="0.25">
      <c r="B395" s="64"/>
      <c r="C395" s="61"/>
      <c r="D395" s="65"/>
      <c r="AM395" s="6" t="e">
        <f>_xlfn.XLOOKUP($C395,#REF!,#REF!,"-",0)</f>
        <v>#REF!</v>
      </c>
    </row>
    <row r="396" spans="2:39" s="38" customFormat="1" x14ac:dyDescent="0.25">
      <c r="B396" s="64"/>
      <c r="C396" s="61"/>
      <c r="D396" s="65"/>
      <c r="AM396" s="6" t="e">
        <f>_xlfn.XLOOKUP($C396,#REF!,#REF!,"-",0)</f>
        <v>#REF!</v>
      </c>
    </row>
    <row r="397" spans="2:39" s="38" customFormat="1" x14ac:dyDescent="0.25">
      <c r="B397" s="64"/>
      <c r="C397" s="61"/>
      <c r="D397" s="65"/>
      <c r="AM397" s="6" t="e">
        <f>_xlfn.XLOOKUP($C397,#REF!,#REF!,"-",0)</f>
        <v>#REF!</v>
      </c>
    </row>
    <row r="398" spans="2:39" s="38" customFormat="1" x14ac:dyDescent="0.25">
      <c r="B398" s="64"/>
      <c r="C398" s="61"/>
      <c r="D398" s="65"/>
      <c r="AM398" s="6" t="e">
        <f>_xlfn.XLOOKUP($C398,#REF!,#REF!,"-",0)</f>
        <v>#REF!</v>
      </c>
    </row>
    <row r="399" spans="2:39" s="38" customFormat="1" x14ac:dyDescent="0.25">
      <c r="B399" s="64"/>
      <c r="C399" s="61"/>
      <c r="D399" s="65"/>
      <c r="AM399" s="6" t="e">
        <f>_xlfn.XLOOKUP($C399,#REF!,#REF!,"-",0)</f>
        <v>#REF!</v>
      </c>
    </row>
    <row r="400" spans="2:39" s="38" customFormat="1" x14ac:dyDescent="0.25">
      <c r="B400" s="64"/>
      <c r="C400" s="61"/>
      <c r="D400" s="65"/>
      <c r="AM400" s="6" t="e">
        <f>_xlfn.XLOOKUP($C400,#REF!,#REF!,"-",0)</f>
        <v>#REF!</v>
      </c>
    </row>
    <row r="401" spans="2:39" s="38" customFormat="1" x14ac:dyDescent="0.25">
      <c r="B401" s="64"/>
      <c r="C401" s="61"/>
      <c r="D401" s="65"/>
      <c r="AM401" s="6" t="e">
        <f>_xlfn.XLOOKUP($C401,#REF!,#REF!,"-",0)</f>
        <v>#REF!</v>
      </c>
    </row>
    <row r="402" spans="2:39" s="38" customFormat="1" x14ac:dyDescent="0.25">
      <c r="B402" s="64"/>
      <c r="C402" s="61"/>
      <c r="D402" s="65"/>
      <c r="AM402" s="6" t="e">
        <f>_xlfn.XLOOKUP($C402,#REF!,#REF!,"-",0)</f>
        <v>#REF!</v>
      </c>
    </row>
    <row r="403" spans="2:39" s="38" customFormat="1" x14ac:dyDescent="0.25">
      <c r="B403" s="64"/>
      <c r="C403" s="61"/>
      <c r="D403" s="65"/>
      <c r="AM403" s="6" t="e">
        <f>_xlfn.XLOOKUP($C403,#REF!,#REF!,"-",0)</f>
        <v>#REF!</v>
      </c>
    </row>
    <row r="404" spans="2:39" s="38" customFormat="1" x14ac:dyDescent="0.25">
      <c r="B404" s="64"/>
      <c r="C404" s="61"/>
      <c r="D404" s="65"/>
      <c r="AM404" s="6" t="e">
        <f>_xlfn.XLOOKUP($C404,#REF!,#REF!,"-",0)</f>
        <v>#REF!</v>
      </c>
    </row>
    <row r="405" spans="2:39" s="38" customFormat="1" x14ac:dyDescent="0.25">
      <c r="B405" s="64"/>
      <c r="C405" s="61"/>
      <c r="D405" s="65"/>
      <c r="AM405" s="6" t="e">
        <f>_xlfn.XLOOKUP($C405,#REF!,#REF!,"-",0)</f>
        <v>#REF!</v>
      </c>
    </row>
    <row r="406" spans="2:39" s="38" customFormat="1" x14ac:dyDescent="0.25">
      <c r="B406" s="64"/>
      <c r="C406" s="61"/>
      <c r="D406" s="65"/>
      <c r="AM406" s="6" t="e">
        <f>_xlfn.XLOOKUP($C406,#REF!,#REF!,"-",0)</f>
        <v>#REF!</v>
      </c>
    </row>
    <row r="407" spans="2:39" x14ac:dyDescent="0.25">
      <c r="AM407" s="6" t="e">
        <f>_xlfn.XLOOKUP($C407,#REF!,#REF!,"-",0)</f>
        <v>#REF!</v>
      </c>
    </row>
  </sheetData>
  <autoFilter ref="B10:AM283" xr:uid="{265C97A0-40A7-4C7C-AF4F-87FB90E21BDB}"/>
  <conditionalFormatting sqref="H2:I2 H3:U4 H11:U283">
    <cfRule type="cellIs" dxfId="8" priority="5" operator="lessThan">
      <formula>0</formula>
    </cfRule>
  </conditionalFormatting>
  <conditionalFormatting sqref="AE2:AI2">
    <cfRule type="cellIs" dxfId="7" priority="1" operator="lessThan">
      <formula>0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D6AC-64FF-43B6-BB73-8E86777C7CBE}">
  <sheetPr codeName="Sheet25">
    <tabColor rgb="FFFF9900"/>
  </sheetPr>
  <dimension ref="A1:AB102"/>
  <sheetViews>
    <sheetView zoomScale="90" zoomScaleNormal="90" workbookViewId="0">
      <pane xSplit="9" ySplit="7" topLeftCell="Y8" activePane="bottomRight" state="frozen"/>
      <selection activeCell="W11" sqref="W11"/>
      <selection pane="topRight" activeCell="W11" sqref="W11"/>
      <selection pane="bottomLeft" activeCell="W11" sqref="W11"/>
      <selection pane="bottomRight" activeCell="A2" sqref="A2"/>
    </sheetView>
  </sheetViews>
  <sheetFormatPr defaultColWidth="9.140625" defaultRowHeight="15" x14ac:dyDescent="0.25"/>
  <cols>
    <col min="1" max="1" width="9.140625" style="10"/>
    <col min="2" max="2" width="12" style="38" bestFit="1" customWidth="1"/>
    <col min="3" max="3" width="28.42578125" style="10" customWidth="1"/>
    <col min="4" max="4" width="39.85546875" style="10" customWidth="1"/>
    <col min="5" max="5" width="12.5703125" style="38" bestFit="1" customWidth="1"/>
    <col min="6" max="6" width="16.42578125" style="38" bestFit="1" customWidth="1"/>
    <col min="7" max="8" width="16.42578125" style="38" customWidth="1"/>
    <col min="9" max="9" width="16.42578125" style="10" bestFit="1" customWidth="1"/>
    <col min="10" max="10" width="17.5703125" style="10" customWidth="1"/>
    <col min="11" max="12" width="14.85546875" style="10" customWidth="1"/>
    <col min="13" max="13" width="17.42578125" style="10" customWidth="1"/>
    <col min="14" max="17" width="14.85546875" style="10" customWidth="1"/>
    <col min="18" max="18" width="15.5703125" style="10" customWidth="1"/>
    <col min="19" max="20" width="14" style="10" customWidth="1"/>
    <col min="21" max="21" width="14.85546875" style="10" customWidth="1"/>
    <col min="22" max="22" width="50.42578125" style="10" customWidth="1"/>
    <col min="23" max="24" width="13.42578125" style="10" bestFit="1" customWidth="1"/>
    <col min="25" max="25" width="10.42578125" style="10" bestFit="1" customWidth="1"/>
    <col min="26" max="26" width="9.140625" style="10"/>
    <col min="27" max="27" width="12.140625" style="10" customWidth="1"/>
    <col min="28" max="16384" width="9.140625" style="10"/>
  </cols>
  <sheetData>
    <row r="1" spans="1:28" s="47" customFormat="1" ht="30" hidden="1" customHeight="1" x14ac:dyDescent="0.25">
      <c r="B1" s="48" t="s">
        <v>352</v>
      </c>
      <c r="E1" s="48" t="s">
        <v>353</v>
      </c>
      <c r="F1" s="48" t="s">
        <v>354</v>
      </c>
      <c r="G1" s="48"/>
      <c r="H1" s="48"/>
      <c r="J1" s="67" t="e">
        <v>#VALUE!</v>
      </c>
    </row>
    <row r="2" spans="1:28" x14ac:dyDescent="0.25">
      <c r="B2" s="38" t="s">
        <v>355</v>
      </c>
      <c r="H2" s="41" t="s">
        <v>221</v>
      </c>
      <c r="I2" s="68"/>
      <c r="J2" s="69"/>
      <c r="R2" s="43"/>
      <c r="S2" s="43"/>
      <c r="T2" s="43"/>
      <c r="U2" s="43"/>
      <c r="V2" s="43"/>
    </row>
    <row r="3" spans="1:28" x14ac:dyDescent="0.25">
      <c r="H3" s="41"/>
      <c r="I3" s="44"/>
      <c r="J3" s="44">
        <v>0</v>
      </c>
      <c r="K3" s="44">
        <v>0</v>
      </c>
      <c r="L3" s="44">
        <v>0</v>
      </c>
      <c r="M3" s="44">
        <v>0</v>
      </c>
      <c r="N3" s="44">
        <v>-39542.94</v>
      </c>
      <c r="O3" s="44">
        <v>-9195.6500000000015</v>
      </c>
      <c r="P3" s="44">
        <v>-851.38999999999942</v>
      </c>
      <c r="Q3" s="44">
        <v>12937.98</v>
      </c>
      <c r="R3" s="44">
        <v>17256.480000000003</v>
      </c>
      <c r="S3" s="44">
        <v>19488.46</v>
      </c>
      <c r="T3" s="44">
        <v>31218.91</v>
      </c>
      <c r="U3" s="44">
        <v>31218.91</v>
      </c>
    </row>
    <row r="4" spans="1:28" s="47" customFormat="1" hidden="1" x14ac:dyDescent="0.25">
      <c r="B4" s="48"/>
      <c r="E4" s="48"/>
      <c r="F4" s="48"/>
      <c r="G4" s="48"/>
      <c r="H4" s="48"/>
      <c r="J4" s="70">
        <v>45658</v>
      </c>
      <c r="K4" s="70">
        <v>45689</v>
      </c>
      <c r="L4" s="70">
        <v>45717</v>
      </c>
      <c r="M4" s="70">
        <v>45748</v>
      </c>
      <c r="N4" s="70">
        <v>45778</v>
      </c>
      <c r="O4" s="70">
        <v>45809</v>
      </c>
      <c r="P4" s="70">
        <v>45839</v>
      </c>
      <c r="Q4" s="70">
        <v>45870</v>
      </c>
      <c r="R4" s="70">
        <v>45901</v>
      </c>
      <c r="S4" s="70">
        <v>45931</v>
      </c>
      <c r="T4" s="70">
        <v>45962</v>
      </c>
      <c r="U4" s="70">
        <v>45992</v>
      </c>
    </row>
    <row r="5" spans="1:28" s="47" customFormat="1" ht="30" hidden="1" x14ac:dyDescent="0.25">
      <c r="B5" s="48"/>
      <c r="E5" s="48"/>
      <c r="F5" s="48" t="s">
        <v>329</v>
      </c>
      <c r="G5" s="48"/>
      <c r="H5" s="48"/>
      <c r="J5" s="47" t="s">
        <v>358</v>
      </c>
      <c r="K5" s="47" t="s">
        <v>340</v>
      </c>
      <c r="L5" s="47" t="s">
        <v>359</v>
      </c>
      <c r="M5" s="47" t="s">
        <v>360</v>
      </c>
      <c r="N5" s="47" t="s">
        <v>341</v>
      </c>
      <c r="O5" s="47" t="s">
        <v>361</v>
      </c>
      <c r="P5" s="47" t="s">
        <v>362</v>
      </c>
      <c r="Q5" s="47" t="s">
        <v>342</v>
      </c>
      <c r="R5" s="47" t="s">
        <v>363</v>
      </c>
      <c r="S5" s="47" t="s">
        <v>364</v>
      </c>
      <c r="T5" s="47" t="s">
        <v>343</v>
      </c>
      <c r="U5" s="47" t="s">
        <v>365</v>
      </c>
    </row>
    <row r="6" spans="1:28" s="47" customFormat="1" ht="45" hidden="1" x14ac:dyDescent="0.25">
      <c r="B6" s="48"/>
      <c r="E6" s="48"/>
      <c r="F6" s="48" t="s">
        <v>330</v>
      </c>
      <c r="G6" s="48"/>
      <c r="H6" s="48"/>
      <c r="J6" s="47" t="s">
        <v>358</v>
      </c>
      <c r="K6" s="47" t="s">
        <v>340</v>
      </c>
      <c r="L6" s="47" t="s">
        <v>359</v>
      </c>
      <c r="M6" s="47" t="s">
        <v>360</v>
      </c>
      <c r="N6" s="47" t="s">
        <v>341</v>
      </c>
      <c r="O6" s="47" t="s">
        <v>361</v>
      </c>
      <c r="P6" s="47" t="s">
        <v>362</v>
      </c>
      <c r="Q6" s="47" t="s">
        <v>342</v>
      </c>
      <c r="R6" s="47" t="s">
        <v>363</v>
      </c>
      <c r="S6" s="47" t="s">
        <v>364</v>
      </c>
      <c r="T6" s="47" t="s">
        <v>343</v>
      </c>
      <c r="U6" s="47" t="s">
        <v>365</v>
      </c>
    </row>
    <row r="7" spans="1:28" ht="30" x14ac:dyDescent="0.25">
      <c r="B7" s="57" t="s">
        <v>331</v>
      </c>
      <c r="C7" s="57" t="s">
        <v>220</v>
      </c>
      <c r="D7" s="57" t="s">
        <v>1</v>
      </c>
      <c r="E7" s="57" t="s">
        <v>0</v>
      </c>
      <c r="F7" s="57" t="s">
        <v>223</v>
      </c>
      <c r="G7" s="57" t="s">
        <v>332</v>
      </c>
      <c r="H7" s="57" t="s">
        <v>356</v>
      </c>
      <c r="I7" s="58" t="s">
        <v>357</v>
      </c>
      <c r="J7" s="59">
        <v>46023</v>
      </c>
      <c r="K7" s="59">
        <v>46054</v>
      </c>
      <c r="L7" s="59">
        <v>46082</v>
      </c>
      <c r="M7" s="59">
        <v>46113</v>
      </c>
      <c r="N7" s="59">
        <v>46143</v>
      </c>
      <c r="O7" s="59">
        <v>46174</v>
      </c>
      <c r="P7" s="59">
        <v>46204</v>
      </c>
      <c r="Q7" s="59">
        <v>46235</v>
      </c>
      <c r="R7" s="59">
        <v>46266</v>
      </c>
      <c r="S7" s="59">
        <v>46296</v>
      </c>
      <c r="T7" s="59">
        <v>46327</v>
      </c>
      <c r="U7" s="59">
        <v>46357</v>
      </c>
      <c r="V7" s="60" t="s">
        <v>334</v>
      </c>
    </row>
    <row r="8" spans="1:28" x14ac:dyDescent="0.25">
      <c r="A8" s="6" t="str">
        <f>IF(IFERROR(VLOOKUP($C8,#REF!,2,0),$C8)="Accion",CONCATENATE(IFERROR(VLOOKUP($C8,#REF!,2,0),$C8)," - ",E8),IFERROR(VLOOKUP($C8,#REF!,2,0),$C8))</f>
        <v>Green Climate Fund</v>
      </c>
      <c r="B8" s="2" t="s">
        <v>390</v>
      </c>
      <c r="C8" s="1" t="s">
        <v>128</v>
      </c>
      <c r="D8" s="1" t="s">
        <v>391</v>
      </c>
      <c r="E8" s="9" t="s">
        <v>66</v>
      </c>
      <c r="F8" s="9" t="s">
        <v>238</v>
      </c>
      <c r="G8" s="9" t="s">
        <v>959</v>
      </c>
      <c r="H8" s="9">
        <v>1</v>
      </c>
      <c r="I8" s="106">
        <v>26400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4400</v>
      </c>
      <c r="Q8" s="72">
        <v>4400</v>
      </c>
      <c r="R8" s="72">
        <v>4400</v>
      </c>
      <c r="S8" s="72">
        <v>4400</v>
      </c>
      <c r="T8" s="72">
        <v>4400</v>
      </c>
      <c r="U8" s="72">
        <v>4400</v>
      </c>
      <c r="V8" s="1" t="s">
        <v>948</v>
      </c>
      <c r="W8" s="72" t="s">
        <v>64</v>
      </c>
      <c r="X8" s="6" t="s">
        <v>264</v>
      </c>
      <c r="AA8" s="6" t="e">
        <f>_xlfn.XLOOKUP($C8,#REF!,#REF!,"-",0)</f>
        <v>#REF!</v>
      </c>
      <c r="AB8" s="10">
        <f t="shared" ref="AB8:AB16" si="0">IF(I8&gt;0,1,IF(I8&lt;0,-1,0))</f>
        <v>1</v>
      </c>
    </row>
    <row r="9" spans="1:28" x14ac:dyDescent="0.25">
      <c r="A9" s="6" t="str">
        <f>IF(IFERROR(VLOOKUP($C9,#REF!,2,0),$C9)="Accion",CONCATENATE(IFERROR(VLOOKUP($C9,#REF!,2,0),$C9)," - ",E9),IFERROR(VLOOKUP($C9,#REF!,2,0),$C9))</f>
        <v>Government Property Agency</v>
      </c>
      <c r="B9" s="2" t="s">
        <v>914</v>
      </c>
      <c r="C9" s="1" t="s">
        <v>170</v>
      </c>
      <c r="D9" s="1" t="s">
        <v>915</v>
      </c>
      <c r="E9" s="9" t="s">
        <v>66</v>
      </c>
      <c r="F9" s="9" t="s">
        <v>238</v>
      </c>
      <c r="G9" s="9" t="s">
        <v>263</v>
      </c>
      <c r="H9" s="9">
        <v>1</v>
      </c>
      <c r="I9" s="106">
        <v>5680</v>
      </c>
      <c r="J9" s="72">
        <v>0</v>
      </c>
      <c r="K9" s="72">
        <v>0</v>
      </c>
      <c r="L9" s="72">
        <v>0</v>
      </c>
      <c r="M9" s="72">
        <v>0</v>
      </c>
      <c r="N9" s="72">
        <v>5680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1" t="s">
        <v>946</v>
      </c>
      <c r="W9" s="72" t="s">
        <v>64</v>
      </c>
      <c r="X9" s="6" t="s">
        <v>264</v>
      </c>
      <c r="AA9" s="6" t="e">
        <f>_xlfn.XLOOKUP($C9,#REF!,#REF!,"-",0)</f>
        <v>#REF!</v>
      </c>
      <c r="AB9" s="10">
        <f t="shared" ref="AB9" si="1">IF(I9&gt;0,1,IF(I9&lt;0,-1,0))</f>
        <v>1</v>
      </c>
    </row>
    <row r="10" spans="1:28" x14ac:dyDescent="0.25">
      <c r="A10" s="6" t="str">
        <f>IF(IFERROR(VLOOKUP($C10,#REF!,2,0),$C10)="Accion",CONCATENATE(IFERROR(VLOOKUP($C10,#REF!,2,0),$C10)," - ",E10),IFERROR(VLOOKUP($C10,#REF!,2,0),$C10))</f>
        <v>CRIF HIGH MARK CREDIT INFORMATION SERVICES PRIVATE LIMITED</v>
      </c>
      <c r="B10" s="2" t="s">
        <v>545</v>
      </c>
      <c r="C10" s="1" t="s">
        <v>546</v>
      </c>
      <c r="D10" s="1" t="s">
        <v>547</v>
      </c>
      <c r="E10" s="9" t="s">
        <v>62</v>
      </c>
      <c r="F10" s="9" t="s">
        <v>243</v>
      </c>
      <c r="G10" s="9" t="s">
        <v>263</v>
      </c>
      <c r="H10" s="9">
        <v>1</v>
      </c>
      <c r="I10" s="106">
        <v>-392.79999999999995</v>
      </c>
      <c r="J10" s="72">
        <v>0</v>
      </c>
      <c r="K10" s="72">
        <v>0</v>
      </c>
      <c r="L10" s="72">
        <v>-392.79999999999995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1" t="s">
        <v>960</v>
      </c>
      <c r="W10" s="72" t="s">
        <v>64</v>
      </c>
      <c r="X10" s="6" t="s">
        <v>266</v>
      </c>
      <c r="AA10" s="6" t="e">
        <f>_xlfn.XLOOKUP($C10,#REF!,#REF!,"-",0)</f>
        <v>#REF!</v>
      </c>
      <c r="AB10" s="10">
        <f t="shared" si="0"/>
        <v>-1</v>
      </c>
    </row>
    <row r="11" spans="1:28" x14ac:dyDescent="0.25">
      <c r="A11" s="6" t="str">
        <f>IF(IFERROR(VLOOKUP($C11,#REF!,2,0),$C11)="Accion",CONCATENATE(IFERROR(VLOOKUP($C11,#REF!,2,0),$C11)," - ",E11),IFERROR(VLOOKUP($C11,#REF!,2,0),$C11))</f>
        <v>CRIF Solutions Private Limited</v>
      </c>
      <c r="B11" s="2" t="s">
        <v>869</v>
      </c>
      <c r="C11" s="61" t="s">
        <v>112</v>
      </c>
      <c r="D11" s="61" t="s">
        <v>870</v>
      </c>
      <c r="E11" s="41" t="s">
        <v>62</v>
      </c>
      <c r="F11" s="41" t="s">
        <v>243</v>
      </c>
      <c r="G11" s="41" t="s">
        <v>263</v>
      </c>
      <c r="H11" s="41">
        <v>1</v>
      </c>
      <c r="I11" s="71">
        <v>-189.70000000000005</v>
      </c>
      <c r="J11" s="72">
        <v>0</v>
      </c>
      <c r="K11" s="72">
        <v>0</v>
      </c>
      <c r="L11" s="72">
        <v>-189.70000000000005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61" t="s">
        <v>960</v>
      </c>
      <c r="W11" s="72" t="s">
        <v>64</v>
      </c>
      <c r="X11" s="10" t="s">
        <v>266</v>
      </c>
      <c r="AA11" s="6" t="e">
        <f>_xlfn.XLOOKUP($C11,#REF!,#REF!,"-",0)</f>
        <v>#REF!</v>
      </c>
      <c r="AB11" s="10">
        <f t="shared" si="0"/>
        <v>-1</v>
      </c>
    </row>
    <row r="12" spans="1:28" ht="30" x14ac:dyDescent="0.25">
      <c r="A12" s="6" t="str">
        <f>IF(IFERROR(VLOOKUP($C12,#REF!,2,0),$C12)="Accion",CONCATENATE(IFERROR(VLOOKUP($C12,#REF!,2,0),$C12)," - ",E12),IFERROR(VLOOKUP($C12,#REF!,2,0),$C12))</f>
        <v>International Atomic Energy Agency</v>
      </c>
      <c r="B12" s="2" t="s">
        <v>732</v>
      </c>
      <c r="C12" s="61" t="s">
        <v>84</v>
      </c>
      <c r="D12" s="61" t="s">
        <v>733</v>
      </c>
      <c r="E12" s="41" t="s">
        <v>66</v>
      </c>
      <c r="F12" s="41" t="s">
        <v>238</v>
      </c>
      <c r="G12" s="41" t="s">
        <v>263</v>
      </c>
      <c r="H12" s="41">
        <v>1</v>
      </c>
      <c r="I12" s="71">
        <v>-6416.67</v>
      </c>
      <c r="J12" s="72">
        <v>0</v>
      </c>
      <c r="K12" s="72">
        <v>0</v>
      </c>
      <c r="L12" s="72">
        <v>-6416.67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61" t="s">
        <v>962</v>
      </c>
      <c r="W12" s="72" t="s">
        <v>64</v>
      </c>
      <c r="X12" s="10" t="s">
        <v>264</v>
      </c>
      <c r="AA12" s="6" t="e">
        <f>_xlfn.XLOOKUP($C12,#REF!,#REF!,"-",0)</f>
        <v>#REF!</v>
      </c>
      <c r="AB12" s="10">
        <f t="shared" si="0"/>
        <v>-1</v>
      </c>
    </row>
    <row r="13" spans="1:28" ht="30" x14ac:dyDescent="0.25">
      <c r="A13" s="6" t="str">
        <f>IF(IFERROR(VLOOKUP($C13,#REF!,2,0),$C13)="Accion",CONCATENATE(IFERROR(VLOOKUP($C13,#REF!,2,0),$C13)," - ",E13),IFERROR(VLOOKUP($C13,#REF!,2,0),$C13))</f>
        <v>WWT India Private Limited</v>
      </c>
      <c r="B13" s="2" t="s">
        <v>877</v>
      </c>
      <c r="C13" s="61" t="s">
        <v>75</v>
      </c>
      <c r="D13" s="61" t="s">
        <v>878</v>
      </c>
      <c r="E13" s="41" t="s">
        <v>62</v>
      </c>
      <c r="F13" s="41" t="s">
        <v>243</v>
      </c>
      <c r="G13" s="41" t="s">
        <v>961</v>
      </c>
      <c r="H13" s="41">
        <v>1</v>
      </c>
      <c r="I13" s="71">
        <v>-14055.479999999998</v>
      </c>
      <c r="J13" s="72">
        <v>0</v>
      </c>
      <c r="K13" s="72">
        <v>0</v>
      </c>
      <c r="L13" s="72">
        <v>0</v>
      </c>
      <c r="M13" s="72">
        <v>-1561.72</v>
      </c>
      <c r="N13" s="72">
        <v>-1561.72</v>
      </c>
      <c r="O13" s="72">
        <v>-1561.72</v>
      </c>
      <c r="P13" s="72">
        <v>-1561.72</v>
      </c>
      <c r="Q13" s="72">
        <v>-1561.72</v>
      </c>
      <c r="R13" s="72">
        <v>-1561.72</v>
      </c>
      <c r="S13" s="72">
        <v>-1561.72</v>
      </c>
      <c r="T13" s="72">
        <v>-1561.72</v>
      </c>
      <c r="U13" s="72">
        <v>-1561.72</v>
      </c>
      <c r="V13" s="61" t="s">
        <v>963</v>
      </c>
      <c r="W13" s="72" t="s">
        <v>64</v>
      </c>
      <c r="X13" s="10" t="s">
        <v>266</v>
      </c>
      <c r="AA13" s="6" t="e">
        <f>_xlfn.XLOOKUP($C13,#REF!,#REF!,"-",0)</f>
        <v>#REF!</v>
      </c>
      <c r="AB13" s="10">
        <f t="shared" si="0"/>
        <v>-1</v>
      </c>
    </row>
    <row r="14" spans="1:28" ht="30" x14ac:dyDescent="0.25">
      <c r="A14" s="6" t="str">
        <f>IF(IFERROR(VLOOKUP($C14,#REF!,2,0),$C14)="Accion",CONCATENATE(IFERROR(VLOOKUP($C14,#REF!,2,0),$C14)," - ",E14),IFERROR(VLOOKUP($C14,#REF!,2,0),$C14))</f>
        <v>Simplicity First Solutions LLC</v>
      </c>
      <c r="B14" s="2" t="s">
        <v>669</v>
      </c>
      <c r="C14" s="61" t="s">
        <v>107</v>
      </c>
      <c r="D14" s="61" t="s">
        <v>670</v>
      </c>
      <c r="E14" s="41" t="s">
        <v>62</v>
      </c>
      <c r="F14" s="41" t="s">
        <v>241</v>
      </c>
      <c r="G14" s="41" t="s">
        <v>961</v>
      </c>
      <c r="H14" s="41">
        <v>1</v>
      </c>
      <c r="I14" s="71">
        <v>-168840</v>
      </c>
      <c r="J14" s="72">
        <v>0</v>
      </c>
      <c r="K14" s="72">
        <v>0</v>
      </c>
      <c r="L14" s="72">
        <v>0</v>
      </c>
      <c r="M14" s="72">
        <v>-18760</v>
      </c>
      <c r="N14" s="72">
        <v>-18760</v>
      </c>
      <c r="O14" s="72">
        <v>-18760</v>
      </c>
      <c r="P14" s="72">
        <v>-18760</v>
      </c>
      <c r="Q14" s="72">
        <v>-18760</v>
      </c>
      <c r="R14" s="72">
        <v>-18760</v>
      </c>
      <c r="S14" s="72">
        <v>-18760</v>
      </c>
      <c r="T14" s="72">
        <v>-18760</v>
      </c>
      <c r="U14" s="72">
        <v>-18760</v>
      </c>
      <c r="V14" s="61" t="s">
        <v>964</v>
      </c>
      <c r="W14" s="72" t="s">
        <v>64</v>
      </c>
      <c r="X14" s="10" t="s">
        <v>265</v>
      </c>
      <c r="AA14" s="6" t="e">
        <f>_xlfn.XLOOKUP($C14,#REF!,#REF!,"-",0)</f>
        <v>#REF!</v>
      </c>
      <c r="AB14" s="10">
        <f t="shared" si="0"/>
        <v>-1</v>
      </c>
    </row>
    <row r="15" spans="1:28" x14ac:dyDescent="0.25">
      <c r="A15" s="6">
        <f>IF(IFERROR(VLOOKUP($C15,#REF!,2,0),$C15)="Accion",CONCATENATE(IFERROR(VLOOKUP($C15,#REF!,2,0),$C15)," - ",E15),IFERROR(VLOOKUP($C15,#REF!,2,0),$C15))</f>
        <v>0</v>
      </c>
      <c r="B15" s="2"/>
      <c r="C15" s="61"/>
      <c r="D15" s="61"/>
      <c r="E15" s="41"/>
      <c r="F15" s="41"/>
      <c r="G15" s="41"/>
      <c r="H15" s="41"/>
      <c r="I15" s="71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61"/>
      <c r="W15" s="72"/>
      <c r="AA15" s="6" t="e">
        <f>_xlfn.XLOOKUP($C15,#REF!,#REF!,"-",0)</f>
        <v>#REF!</v>
      </c>
      <c r="AB15" s="10">
        <f t="shared" si="0"/>
        <v>0</v>
      </c>
    </row>
    <row r="16" spans="1:28" x14ac:dyDescent="0.25">
      <c r="A16" s="6">
        <f>IF(IFERROR(VLOOKUP($C16,#REF!,2,0),$C16)="Accion",CONCATENATE(IFERROR(VLOOKUP($C16,#REF!,2,0),$C16)," - ",E16),IFERROR(VLOOKUP($C16,#REF!,2,0),$C16))</f>
        <v>0</v>
      </c>
      <c r="B16" s="2"/>
      <c r="C16" s="61"/>
      <c r="D16" s="61"/>
      <c r="E16" s="41"/>
      <c r="F16" s="41"/>
      <c r="G16" s="41"/>
      <c r="H16" s="41"/>
      <c r="I16" s="71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61"/>
      <c r="W16" s="72"/>
      <c r="AA16" s="6" t="e">
        <f>_xlfn.XLOOKUP($C16,#REF!,#REF!,"-",0)</f>
        <v>#REF!</v>
      </c>
      <c r="AB16" s="10">
        <f t="shared" si="0"/>
        <v>0</v>
      </c>
    </row>
    <row r="17" spans="1:27" x14ac:dyDescent="0.25">
      <c r="A17" s="6"/>
      <c r="AA17" s="6" t="e">
        <f>_xlfn.XLOOKUP($C17,#REF!,#REF!,"-",0)</f>
        <v>#REF!</v>
      </c>
    </row>
    <row r="18" spans="1:27" x14ac:dyDescent="0.25">
      <c r="I18" s="38"/>
      <c r="AA18" s="6" t="e">
        <f>_xlfn.XLOOKUP($C18,#REF!,#REF!,"-",0)</f>
        <v>#REF!</v>
      </c>
    </row>
    <row r="19" spans="1:27" x14ac:dyDescent="0.25">
      <c r="I19" s="38"/>
      <c r="AA19" s="6" t="e">
        <f>_xlfn.XLOOKUP($C19,#REF!,#REF!,"-",0)</f>
        <v>#REF!</v>
      </c>
    </row>
    <row r="20" spans="1:27" x14ac:dyDescent="0.25">
      <c r="P20" s="40"/>
      <c r="Q20" s="40"/>
      <c r="R20" s="40"/>
      <c r="S20" s="40"/>
      <c r="T20" s="40"/>
      <c r="U20" s="40"/>
      <c r="AA20" s="6" t="e">
        <f>_xlfn.XLOOKUP($C20,#REF!,#REF!,"-",0)</f>
        <v>#REF!</v>
      </c>
    </row>
    <row r="21" spans="1:27" x14ac:dyDescent="0.25">
      <c r="AA21" s="6" t="e">
        <f>_xlfn.XLOOKUP($C21,#REF!,#REF!,"-",0)</f>
        <v>#REF!</v>
      </c>
    </row>
    <row r="22" spans="1:27" x14ac:dyDescent="0.25">
      <c r="AA22" s="6" t="e">
        <f>_xlfn.XLOOKUP($C22,#REF!,#REF!,"-",0)</f>
        <v>#REF!</v>
      </c>
    </row>
    <row r="23" spans="1:27" x14ac:dyDescent="0.25">
      <c r="AA23" s="6" t="e">
        <f>_xlfn.XLOOKUP($C23,#REF!,#REF!,"-",0)</f>
        <v>#REF!</v>
      </c>
    </row>
    <row r="24" spans="1:27" x14ac:dyDescent="0.25">
      <c r="AA24" s="6" t="e">
        <f>_xlfn.XLOOKUP($C24,#REF!,#REF!,"-",0)</f>
        <v>#REF!</v>
      </c>
    </row>
    <row r="25" spans="1:27" x14ac:dyDescent="0.25">
      <c r="AA25" s="6" t="e">
        <f>_xlfn.XLOOKUP($C25,#REF!,#REF!,"-",0)</f>
        <v>#REF!</v>
      </c>
    </row>
    <row r="26" spans="1:27" x14ac:dyDescent="0.25">
      <c r="AA26" s="6" t="e">
        <f>_xlfn.XLOOKUP($C26,#REF!,#REF!,"-",0)</f>
        <v>#REF!</v>
      </c>
    </row>
    <row r="27" spans="1:27" x14ac:dyDescent="0.25">
      <c r="AA27" s="6" t="e">
        <f>_xlfn.XLOOKUP($C27,#REF!,#REF!,"-",0)</f>
        <v>#REF!</v>
      </c>
    </row>
    <row r="28" spans="1:27" x14ac:dyDescent="0.25">
      <c r="AA28" s="6" t="e">
        <f>_xlfn.XLOOKUP($C28,#REF!,#REF!,"-",0)</f>
        <v>#REF!</v>
      </c>
    </row>
    <row r="29" spans="1:27" x14ac:dyDescent="0.25">
      <c r="AA29" s="6" t="e">
        <f>_xlfn.XLOOKUP($C29,#REF!,#REF!,"-",0)</f>
        <v>#REF!</v>
      </c>
    </row>
    <row r="30" spans="1:27" x14ac:dyDescent="0.25">
      <c r="AA30" s="6" t="e">
        <f>_xlfn.XLOOKUP($C30,#REF!,#REF!,"-",0)</f>
        <v>#REF!</v>
      </c>
    </row>
    <row r="31" spans="1:27" x14ac:dyDescent="0.25">
      <c r="AA31" s="6" t="e">
        <f>_xlfn.XLOOKUP($C31,#REF!,#REF!,"-",0)</f>
        <v>#REF!</v>
      </c>
    </row>
    <row r="32" spans="1:27" x14ac:dyDescent="0.25">
      <c r="AA32" s="6" t="e">
        <f>_xlfn.XLOOKUP($C32,#REF!,#REF!,"-",0)</f>
        <v>#REF!</v>
      </c>
    </row>
    <row r="33" spans="27:27" x14ac:dyDescent="0.25">
      <c r="AA33" s="6" t="e">
        <f>_xlfn.XLOOKUP($C33,#REF!,#REF!,"-",0)</f>
        <v>#REF!</v>
      </c>
    </row>
    <row r="34" spans="27:27" x14ac:dyDescent="0.25">
      <c r="AA34" s="6" t="e">
        <f>_xlfn.XLOOKUP($C34,#REF!,#REF!,"-",0)</f>
        <v>#REF!</v>
      </c>
    </row>
    <row r="35" spans="27:27" x14ac:dyDescent="0.25">
      <c r="AA35" s="6" t="e">
        <f>_xlfn.XLOOKUP($C35,#REF!,#REF!,"-",0)</f>
        <v>#REF!</v>
      </c>
    </row>
    <row r="36" spans="27:27" x14ac:dyDescent="0.25">
      <c r="AA36" s="6" t="e">
        <f>_xlfn.XLOOKUP($C36,#REF!,#REF!,"-",0)</f>
        <v>#REF!</v>
      </c>
    </row>
    <row r="37" spans="27:27" x14ac:dyDescent="0.25">
      <c r="AA37" s="6" t="e">
        <f>_xlfn.XLOOKUP($C37,#REF!,#REF!,"-",0)</f>
        <v>#REF!</v>
      </c>
    </row>
    <row r="38" spans="27:27" x14ac:dyDescent="0.25">
      <c r="AA38" s="6" t="e">
        <f>_xlfn.XLOOKUP($C38,#REF!,#REF!,"-",0)</f>
        <v>#REF!</v>
      </c>
    </row>
    <row r="39" spans="27:27" x14ac:dyDescent="0.25">
      <c r="AA39" s="6" t="e">
        <f>_xlfn.XLOOKUP($C39,#REF!,#REF!,"-",0)</f>
        <v>#REF!</v>
      </c>
    </row>
    <row r="40" spans="27:27" x14ac:dyDescent="0.25">
      <c r="AA40" s="6" t="e">
        <f>_xlfn.XLOOKUP($C40,#REF!,#REF!,"-",0)</f>
        <v>#REF!</v>
      </c>
    </row>
    <row r="41" spans="27:27" x14ac:dyDescent="0.25">
      <c r="AA41" s="6" t="e">
        <f>_xlfn.XLOOKUP($C41,#REF!,#REF!,"-",0)</f>
        <v>#REF!</v>
      </c>
    </row>
    <row r="42" spans="27:27" x14ac:dyDescent="0.25">
      <c r="AA42" s="6" t="e">
        <f>_xlfn.XLOOKUP($C42,#REF!,#REF!,"-",0)</f>
        <v>#REF!</v>
      </c>
    </row>
    <row r="43" spans="27:27" x14ac:dyDescent="0.25">
      <c r="AA43" s="6" t="e">
        <f>_xlfn.XLOOKUP($C43,#REF!,#REF!,"-",0)</f>
        <v>#REF!</v>
      </c>
    </row>
    <row r="44" spans="27:27" x14ac:dyDescent="0.25">
      <c r="AA44" s="6" t="e">
        <f>_xlfn.XLOOKUP($C44,#REF!,#REF!,"-",0)</f>
        <v>#REF!</v>
      </c>
    </row>
    <row r="45" spans="27:27" x14ac:dyDescent="0.25">
      <c r="AA45" s="6" t="e">
        <f>_xlfn.XLOOKUP($C45,#REF!,#REF!,"-",0)</f>
        <v>#REF!</v>
      </c>
    </row>
    <row r="46" spans="27:27" x14ac:dyDescent="0.25">
      <c r="AA46" s="6" t="e">
        <f>_xlfn.XLOOKUP($C46,#REF!,#REF!,"-",0)</f>
        <v>#REF!</v>
      </c>
    </row>
    <row r="47" spans="27:27" x14ac:dyDescent="0.25">
      <c r="AA47" s="6" t="e">
        <f>_xlfn.XLOOKUP($C47,#REF!,#REF!,"-",0)</f>
        <v>#REF!</v>
      </c>
    </row>
    <row r="48" spans="27:27" x14ac:dyDescent="0.25">
      <c r="AA48" s="6" t="e">
        <f>_xlfn.XLOOKUP($C48,#REF!,#REF!,"-",0)</f>
        <v>#REF!</v>
      </c>
    </row>
    <row r="49" spans="27:27" x14ac:dyDescent="0.25">
      <c r="AA49" s="6" t="e">
        <f>_xlfn.XLOOKUP($C49,#REF!,#REF!,"-",0)</f>
        <v>#REF!</v>
      </c>
    </row>
    <row r="50" spans="27:27" x14ac:dyDescent="0.25">
      <c r="AA50" s="6" t="e">
        <f>_xlfn.XLOOKUP($C50,#REF!,#REF!,"-",0)</f>
        <v>#REF!</v>
      </c>
    </row>
    <row r="51" spans="27:27" x14ac:dyDescent="0.25">
      <c r="AA51" s="6" t="e">
        <f>_xlfn.XLOOKUP($C51,#REF!,#REF!,"-",0)</f>
        <v>#REF!</v>
      </c>
    </row>
    <row r="52" spans="27:27" x14ac:dyDescent="0.25">
      <c r="AA52" s="6" t="e">
        <f>_xlfn.XLOOKUP($C52,#REF!,#REF!,"-",0)</f>
        <v>#REF!</v>
      </c>
    </row>
    <row r="53" spans="27:27" x14ac:dyDescent="0.25">
      <c r="AA53" s="6" t="e">
        <f>_xlfn.XLOOKUP($C53,#REF!,#REF!,"-",0)</f>
        <v>#REF!</v>
      </c>
    </row>
    <row r="54" spans="27:27" x14ac:dyDescent="0.25">
      <c r="AA54" s="6" t="e">
        <f>_xlfn.XLOOKUP($C54,#REF!,#REF!,"-",0)</f>
        <v>#REF!</v>
      </c>
    </row>
    <row r="55" spans="27:27" x14ac:dyDescent="0.25">
      <c r="AA55" s="6" t="e">
        <f>_xlfn.XLOOKUP($C55,#REF!,#REF!,"-",0)</f>
        <v>#REF!</v>
      </c>
    </row>
    <row r="56" spans="27:27" x14ac:dyDescent="0.25">
      <c r="AA56" s="6" t="e">
        <f>_xlfn.XLOOKUP($C56,#REF!,#REF!,"-",0)</f>
        <v>#REF!</v>
      </c>
    </row>
    <row r="57" spans="27:27" x14ac:dyDescent="0.25">
      <c r="AA57" s="6" t="e">
        <f>_xlfn.XLOOKUP($C57,#REF!,#REF!,"-",0)</f>
        <v>#REF!</v>
      </c>
    </row>
    <row r="58" spans="27:27" x14ac:dyDescent="0.25">
      <c r="AA58" s="6" t="e">
        <f>_xlfn.XLOOKUP($C58,#REF!,#REF!,"-",0)</f>
        <v>#REF!</v>
      </c>
    </row>
    <row r="59" spans="27:27" x14ac:dyDescent="0.25">
      <c r="AA59" s="6" t="e">
        <f>_xlfn.XLOOKUP($C59,#REF!,#REF!,"-",0)</f>
        <v>#REF!</v>
      </c>
    </row>
    <row r="60" spans="27:27" x14ac:dyDescent="0.25">
      <c r="AA60" s="6" t="e">
        <f>_xlfn.XLOOKUP($C60,#REF!,#REF!,"-",0)</f>
        <v>#REF!</v>
      </c>
    </row>
    <row r="61" spans="27:27" x14ac:dyDescent="0.25">
      <c r="AA61" s="6" t="e">
        <f>_xlfn.XLOOKUP($C61,#REF!,#REF!,"-",0)</f>
        <v>#REF!</v>
      </c>
    </row>
    <row r="62" spans="27:27" x14ac:dyDescent="0.25">
      <c r="AA62" s="6" t="e">
        <f>_xlfn.XLOOKUP($C62,#REF!,#REF!,"-",0)</f>
        <v>#REF!</v>
      </c>
    </row>
    <row r="63" spans="27:27" x14ac:dyDescent="0.25">
      <c r="AA63" s="6" t="e">
        <f>_xlfn.XLOOKUP($C63,#REF!,#REF!,"-",0)</f>
        <v>#REF!</v>
      </c>
    </row>
    <row r="64" spans="27:27" x14ac:dyDescent="0.25">
      <c r="AA64" s="6" t="e">
        <f>_xlfn.XLOOKUP($C64,#REF!,#REF!,"-",0)</f>
        <v>#REF!</v>
      </c>
    </row>
    <row r="65" spans="27:27" x14ac:dyDescent="0.25">
      <c r="AA65" s="6" t="e">
        <f>_xlfn.XLOOKUP($C65,#REF!,#REF!,"-",0)</f>
        <v>#REF!</v>
      </c>
    </row>
    <row r="66" spans="27:27" x14ac:dyDescent="0.25">
      <c r="AA66" s="6" t="e">
        <f>_xlfn.XLOOKUP($C66,#REF!,#REF!,"-",0)</f>
        <v>#REF!</v>
      </c>
    </row>
    <row r="67" spans="27:27" x14ac:dyDescent="0.25">
      <c r="AA67" s="6" t="e">
        <f>_xlfn.XLOOKUP($C67,#REF!,#REF!,"-",0)</f>
        <v>#REF!</v>
      </c>
    </row>
    <row r="68" spans="27:27" x14ac:dyDescent="0.25">
      <c r="AA68" s="6" t="e">
        <f>_xlfn.XLOOKUP($C68,#REF!,#REF!,"-",0)</f>
        <v>#REF!</v>
      </c>
    </row>
    <row r="69" spans="27:27" x14ac:dyDescent="0.25">
      <c r="AA69" s="6" t="e">
        <f>_xlfn.XLOOKUP($C69,#REF!,#REF!,"-",0)</f>
        <v>#REF!</v>
      </c>
    </row>
    <row r="70" spans="27:27" x14ac:dyDescent="0.25">
      <c r="AA70" s="6" t="e">
        <f>_xlfn.XLOOKUP($C70,#REF!,#REF!,"-",0)</f>
        <v>#REF!</v>
      </c>
    </row>
    <row r="71" spans="27:27" x14ac:dyDescent="0.25">
      <c r="AA71" s="6" t="e">
        <f>_xlfn.XLOOKUP($C71,#REF!,#REF!,"-",0)</f>
        <v>#REF!</v>
      </c>
    </row>
    <row r="72" spans="27:27" x14ac:dyDescent="0.25">
      <c r="AA72" s="6" t="e">
        <f>_xlfn.XLOOKUP($C72,#REF!,#REF!,"-",0)</f>
        <v>#REF!</v>
      </c>
    </row>
    <row r="73" spans="27:27" x14ac:dyDescent="0.25">
      <c r="AA73" s="6" t="e">
        <f>_xlfn.XLOOKUP($C73,#REF!,#REF!,"-",0)</f>
        <v>#REF!</v>
      </c>
    </row>
    <row r="74" spans="27:27" x14ac:dyDescent="0.25">
      <c r="AA74" s="6" t="e">
        <f>_xlfn.XLOOKUP($C74,#REF!,#REF!,"-",0)</f>
        <v>#REF!</v>
      </c>
    </row>
    <row r="75" spans="27:27" x14ac:dyDescent="0.25">
      <c r="AA75" s="6" t="e">
        <f>_xlfn.XLOOKUP($C75,#REF!,#REF!,"-",0)</f>
        <v>#REF!</v>
      </c>
    </row>
    <row r="76" spans="27:27" x14ac:dyDescent="0.25">
      <c r="AA76" s="6" t="e">
        <f>_xlfn.XLOOKUP($C76,#REF!,#REF!,"-",0)</f>
        <v>#REF!</v>
      </c>
    </row>
    <row r="77" spans="27:27" x14ac:dyDescent="0.25">
      <c r="AA77" s="6" t="e">
        <f>_xlfn.XLOOKUP($C77,#REF!,#REF!,"-",0)</f>
        <v>#REF!</v>
      </c>
    </row>
    <row r="78" spans="27:27" x14ac:dyDescent="0.25">
      <c r="AA78" s="6" t="e">
        <f>_xlfn.XLOOKUP($C78,#REF!,#REF!,"-",0)</f>
        <v>#REF!</v>
      </c>
    </row>
    <row r="79" spans="27:27" x14ac:dyDescent="0.25">
      <c r="AA79" s="6" t="e">
        <f>_xlfn.XLOOKUP($C79,#REF!,#REF!,"-",0)</f>
        <v>#REF!</v>
      </c>
    </row>
    <row r="80" spans="27:27" x14ac:dyDescent="0.25">
      <c r="AA80" s="6" t="e">
        <f>_xlfn.XLOOKUP($C80,#REF!,#REF!,"-",0)</f>
        <v>#REF!</v>
      </c>
    </row>
    <row r="81" spans="27:27" x14ac:dyDescent="0.25">
      <c r="AA81" s="6" t="e">
        <f>_xlfn.XLOOKUP($C81,#REF!,#REF!,"-",0)</f>
        <v>#REF!</v>
      </c>
    </row>
    <row r="82" spans="27:27" x14ac:dyDescent="0.25">
      <c r="AA82" s="6" t="e">
        <f>_xlfn.XLOOKUP($C82,#REF!,#REF!,"-",0)</f>
        <v>#REF!</v>
      </c>
    </row>
    <row r="83" spans="27:27" x14ac:dyDescent="0.25">
      <c r="AA83" s="6" t="e">
        <f>_xlfn.XLOOKUP($C83,#REF!,#REF!,"-",0)</f>
        <v>#REF!</v>
      </c>
    </row>
    <row r="84" spans="27:27" x14ac:dyDescent="0.25">
      <c r="AA84" s="6" t="e">
        <f>_xlfn.XLOOKUP($C84,#REF!,#REF!,"-",0)</f>
        <v>#REF!</v>
      </c>
    </row>
    <row r="85" spans="27:27" x14ac:dyDescent="0.25">
      <c r="AA85" s="6" t="e">
        <f>_xlfn.XLOOKUP($C85,#REF!,#REF!,"-",0)</f>
        <v>#REF!</v>
      </c>
    </row>
    <row r="86" spans="27:27" x14ac:dyDescent="0.25">
      <c r="AA86" s="6" t="e">
        <f>_xlfn.XLOOKUP($C86,#REF!,#REF!,"-",0)</f>
        <v>#REF!</v>
      </c>
    </row>
    <row r="87" spans="27:27" x14ac:dyDescent="0.25">
      <c r="AA87" s="6" t="e">
        <f>_xlfn.XLOOKUP($C87,#REF!,#REF!,"-",0)</f>
        <v>#REF!</v>
      </c>
    </row>
    <row r="88" spans="27:27" x14ac:dyDescent="0.25">
      <c r="AA88" s="6" t="e">
        <f>_xlfn.XLOOKUP($C88,#REF!,#REF!,"-",0)</f>
        <v>#REF!</v>
      </c>
    </row>
    <row r="89" spans="27:27" x14ac:dyDescent="0.25">
      <c r="AA89" s="6" t="e">
        <f>_xlfn.XLOOKUP($C89,#REF!,#REF!,"-",0)</f>
        <v>#REF!</v>
      </c>
    </row>
    <row r="90" spans="27:27" x14ac:dyDescent="0.25">
      <c r="AA90" s="6" t="e">
        <f>_xlfn.XLOOKUP($C90,#REF!,#REF!,"-",0)</f>
        <v>#REF!</v>
      </c>
    </row>
    <row r="91" spans="27:27" x14ac:dyDescent="0.25">
      <c r="AA91" s="6" t="e">
        <f>_xlfn.XLOOKUP($C91,#REF!,#REF!,"-",0)</f>
        <v>#REF!</v>
      </c>
    </row>
    <row r="92" spans="27:27" x14ac:dyDescent="0.25">
      <c r="AA92" s="6" t="e">
        <f>_xlfn.XLOOKUP($C92,#REF!,#REF!,"-",0)</f>
        <v>#REF!</v>
      </c>
    </row>
    <row r="93" spans="27:27" x14ac:dyDescent="0.25">
      <c r="AA93" s="6" t="e">
        <f>_xlfn.XLOOKUP($C93,#REF!,#REF!,"-",0)</f>
        <v>#REF!</v>
      </c>
    </row>
    <row r="94" spans="27:27" x14ac:dyDescent="0.25">
      <c r="AA94" s="6" t="e">
        <f>_xlfn.XLOOKUP($C94,#REF!,#REF!,"-",0)</f>
        <v>#REF!</v>
      </c>
    </row>
    <row r="95" spans="27:27" x14ac:dyDescent="0.25">
      <c r="AA95" s="6" t="e">
        <f>_xlfn.XLOOKUP($C95,#REF!,#REF!,"-",0)</f>
        <v>#REF!</v>
      </c>
    </row>
    <row r="96" spans="27:27" x14ac:dyDescent="0.25">
      <c r="AA96" s="6" t="e">
        <f>_xlfn.XLOOKUP($C96,#REF!,#REF!,"-",0)</f>
        <v>#REF!</v>
      </c>
    </row>
    <row r="97" spans="27:27" x14ac:dyDescent="0.25">
      <c r="AA97" s="6" t="e">
        <f>_xlfn.XLOOKUP($C97,#REF!,#REF!,"-",0)</f>
        <v>#REF!</v>
      </c>
    </row>
    <row r="98" spans="27:27" x14ac:dyDescent="0.25">
      <c r="AA98" s="6" t="e">
        <f>_xlfn.XLOOKUP($C98,#REF!,#REF!,"-",0)</f>
        <v>#REF!</v>
      </c>
    </row>
    <row r="99" spans="27:27" x14ac:dyDescent="0.25">
      <c r="AA99" s="6" t="e">
        <f>_xlfn.XLOOKUP($C99,#REF!,#REF!,"-",0)</f>
        <v>#REF!</v>
      </c>
    </row>
    <row r="100" spans="27:27" x14ac:dyDescent="0.25">
      <c r="AA100" s="6" t="e">
        <f>_xlfn.XLOOKUP($C100,#REF!,#REF!,"-",0)</f>
        <v>#REF!</v>
      </c>
    </row>
    <row r="101" spans="27:27" x14ac:dyDescent="0.25">
      <c r="AA101" s="6" t="e">
        <f>_xlfn.XLOOKUP($C101,#REF!,#REF!,"-",0)</f>
        <v>#REF!</v>
      </c>
    </row>
    <row r="102" spans="27:27" x14ac:dyDescent="0.25">
      <c r="AA102" s="6" t="e">
        <f>_xlfn.XLOOKUP($C102,#REF!,#REF!,"-",0)</f>
        <v>#REF!</v>
      </c>
    </row>
  </sheetData>
  <autoFilter ref="B7:Y17" xr:uid="{00000000-0001-0000-2600-000000000000}"/>
  <conditionalFormatting sqref="I2:U6 I7 I8:U16 W8:W16">
    <cfRule type="cellIs" dxfId="6" priority="2" operator="lessThan">
      <formula>0</formula>
    </cfRule>
  </conditionalFormatting>
  <conditionalFormatting sqref="V2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584F-8B96-4248-88F0-84DD1F276B7B}">
  <dimension ref="A3:F83"/>
  <sheetViews>
    <sheetView workbookViewId="0">
      <selection activeCell="D4" sqref="D4:D83"/>
    </sheetView>
  </sheetViews>
  <sheetFormatPr defaultRowHeight="15" x14ac:dyDescent="0.25"/>
  <cols>
    <col min="1" max="1" width="8.28515625" bestFit="1" customWidth="1"/>
    <col min="3" max="3" width="51" bestFit="1" customWidth="1"/>
    <col min="4" max="4" width="7.42578125" bestFit="1" customWidth="1"/>
    <col min="5" max="5" width="35.28515625" bestFit="1" customWidth="1"/>
  </cols>
  <sheetData>
    <row r="3" spans="1:6" x14ac:dyDescent="0.25">
      <c r="A3" s="31" t="s">
        <v>321</v>
      </c>
      <c r="B3" s="31" t="s">
        <v>274</v>
      </c>
      <c r="C3" s="31" t="s">
        <v>220</v>
      </c>
      <c r="D3" s="31" t="s">
        <v>320</v>
      </c>
      <c r="E3" s="37" t="s">
        <v>322</v>
      </c>
      <c r="F3" s="37" t="s">
        <v>366</v>
      </c>
    </row>
    <row r="4" spans="1:6" x14ac:dyDescent="0.25">
      <c r="A4" s="36">
        <v>1</v>
      </c>
      <c r="B4" s="32" t="s">
        <v>68</v>
      </c>
      <c r="C4" s="33" t="s">
        <v>145</v>
      </c>
      <c r="D4" s="34">
        <v>0</v>
      </c>
      <c r="E4" s="15" t="e">
        <f>VLOOKUP($C4,#REF!,8,0)</f>
        <v>#REF!</v>
      </c>
      <c r="F4" t="s">
        <v>241</v>
      </c>
    </row>
    <row r="5" spans="1:6" x14ac:dyDescent="0.25">
      <c r="A5" s="36">
        <v>2</v>
      </c>
      <c r="B5" s="32" t="s">
        <v>62</v>
      </c>
      <c r="C5" s="35" t="s">
        <v>8</v>
      </c>
      <c r="D5" s="34">
        <v>0</v>
      </c>
      <c r="E5" s="15" t="e">
        <f>VLOOKUP($C5,#REF!,8,0)</f>
        <v>#REF!</v>
      </c>
      <c r="F5" t="s">
        <v>238</v>
      </c>
    </row>
    <row r="6" spans="1:6" x14ac:dyDescent="0.25">
      <c r="A6" s="36">
        <v>3</v>
      </c>
      <c r="B6" s="32" t="s">
        <v>66</v>
      </c>
      <c r="C6" s="35" t="s">
        <v>76</v>
      </c>
      <c r="D6" s="34">
        <v>0</v>
      </c>
      <c r="E6" s="15" t="e">
        <f>VLOOKUP($C6,#REF!,8,0)</f>
        <v>#REF!</v>
      </c>
      <c r="F6" t="s">
        <v>238</v>
      </c>
    </row>
    <row r="7" spans="1:6" x14ac:dyDescent="0.25">
      <c r="A7" s="36">
        <v>4</v>
      </c>
      <c r="B7" s="32" t="s">
        <v>62</v>
      </c>
      <c r="C7" s="35" t="s">
        <v>78</v>
      </c>
      <c r="D7" s="34">
        <v>0</v>
      </c>
      <c r="E7" s="15" t="e">
        <f>VLOOKUP($C7,#REF!,8,0)</f>
        <v>#REF!</v>
      </c>
      <c r="F7" t="s">
        <v>241</v>
      </c>
    </row>
    <row r="8" spans="1:6" x14ac:dyDescent="0.25">
      <c r="A8" s="36">
        <v>5</v>
      </c>
      <c r="B8" s="32" t="s">
        <v>62</v>
      </c>
      <c r="C8" s="35" t="s">
        <v>65</v>
      </c>
      <c r="D8" s="34">
        <v>0</v>
      </c>
      <c r="E8" s="15" t="e">
        <f>VLOOKUP($C8,#REF!,8,0)</f>
        <v>#REF!</v>
      </c>
      <c r="F8" t="s">
        <v>241</v>
      </c>
    </row>
    <row r="9" spans="1:6" x14ac:dyDescent="0.25">
      <c r="A9" s="36">
        <v>6</v>
      </c>
      <c r="B9" s="32" t="s">
        <v>68</v>
      </c>
      <c r="C9" s="35" t="s">
        <v>69</v>
      </c>
      <c r="D9" s="34">
        <v>0</v>
      </c>
      <c r="E9" s="15" t="e">
        <f>VLOOKUP($C9,#REF!,8,0)</f>
        <v>#REF!</v>
      </c>
      <c r="F9" t="s">
        <v>241</v>
      </c>
    </row>
    <row r="10" spans="1:6" x14ac:dyDescent="0.25">
      <c r="A10" s="36">
        <v>7</v>
      </c>
      <c r="B10" s="32" t="s">
        <v>66</v>
      </c>
      <c r="C10" s="35" t="s">
        <v>77</v>
      </c>
      <c r="D10" s="34">
        <v>0</v>
      </c>
      <c r="E10" s="15" t="e">
        <f>VLOOKUP($C10,#REF!,8,0)</f>
        <v>#REF!</v>
      </c>
      <c r="F10" t="s">
        <v>241</v>
      </c>
    </row>
    <row r="11" spans="1:6" x14ac:dyDescent="0.25">
      <c r="A11" s="36">
        <v>8</v>
      </c>
      <c r="B11" s="32" t="s">
        <v>62</v>
      </c>
      <c r="C11" s="33" t="s">
        <v>139</v>
      </c>
      <c r="D11" s="34">
        <v>0</v>
      </c>
      <c r="E11" s="15" t="e">
        <f>VLOOKUP($C11,#REF!,8,0)</f>
        <v>#REF!</v>
      </c>
      <c r="F11" t="s">
        <v>243</v>
      </c>
    </row>
    <row r="12" spans="1:6" x14ac:dyDescent="0.25">
      <c r="A12" s="36">
        <v>9</v>
      </c>
      <c r="B12" s="32" t="s">
        <v>62</v>
      </c>
      <c r="C12" s="35" t="s">
        <v>93</v>
      </c>
      <c r="D12" s="34">
        <v>0</v>
      </c>
      <c r="E12" s="15" t="e">
        <f>VLOOKUP($C12,#REF!,8,0)</f>
        <v>#REF!</v>
      </c>
      <c r="F12" t="s">
        <v>243</v>
      </c>
    </row>
    <row r="13" spans="1:6" x14ac:dyDescent="0.25">
      <c r="A13" s="36">
        <v>10</v>
      </c>
      <c r="B13" s="32" t="s">
        <v>62</v>
      </c>
      <c r="C13" s="35" t="s">
        <v>124</v>
      </c>
      <c r="D13" s="34">
        <v>0</v>
      </c>
      <c r="E13" s="15" t="e">
        <f>VLOOKUP($C13,#REF!,8,0)</f>
        <v>#REF!</v>
      </c>
      <c r="F13" t="s">
        <v>241</v>
      </c>
    </row>
    <row r="14" spans="1:6" x14ac:dyDescent="0.25">
      <c r="A14" s="36">
        <v>11</v>
      </c>
      <c r="B14" s="32" t="s">
        <v>62</v>
      </c>
      <c r="C14" s="35" t="s">
        <v>95</v>
      </c>
      <c r="D14" s="34">
        <v>0</v>
      </c>
      <c r="E14" s="15" t="e">
        <f>VLOOKUP($C14,#REF!,8,0)</f>
        <v>#REF!</v>
      </c>
      <c r="F14" t="s">
        <v>243</v>
      </c>
    </row>
    <row r="15" spans="1:6" x14ac:dyDescent="0.25">
      <c r="A15" s="36">
        <v>12</v>
      </c>
      <c r="B15" s="32" t="s">
        <v>62</v>
      </c>
      <c r="C15" s="35" t="s">
        <v>125</v>
      </c>
      <c r="D15" s="34">
        <v>0</v>
      </c>
      <c r="E15" s="15" t="e">
        <f>VLOOKUP($C15,#REF!,8,0)</f>
        <v>#REF!</v>
      </c>
      <c r="F15" t="s">
        <v>241</v>
      </c>
    </row>
    <row r="16" spans="1:6" x14ac:dyDescent="0.25">
      <c r="A16" s="36">
        <v>13</v>
      </c>
      <c r="B16" s="32" t="s">
        <v>62</v>
      </c>
      <c r="C16" s="35" t="s">
        <v>99</v>
      </c>
      <c r="D16" s="34">
        <v>0</v>
      </c>
      <c r="E16" s="15" t="e">
        <f>VLOOKUP($C16,#REF!,8,0)</f>
        <v>#REF!</v>
      </c>
      <c r="F16" t="s">
        <v>243</v>
      </c>
    </row>
    <row r="17" spans="1:6" x14ac:dyDescent="0.25">
      <c r="A17" s="36">
        <v>14</v>
      </c>
      <c r="B17" s="32" t="s">
        <v>68</v>
      </c>
      <c r="C17" s="35" t="s">
        <v>105</v>
      </c>
      <c r="D17" s="34">
        <v>0</v>
      </c>
      <c r="E17" s="15" t="e">
        <f>VLOOKUP($C17,#REF!,8,0)</f>
        <v>#REF!</v>
      </c>
      <c r="F17" t="s">
        <v>241</v>
      </c>
    </row>
    <row r="18" spans="1:6" x14ac:dyDescent="0.25">
      <c r="A18" s="36">
        <v>15</v>
      </c>
      <c r="B18" s="32" t="s">
        <v>68</v>
      </c>
      <c r="C18" s="35" t="s">
        <v>90</v>
      </c>
      <c r="D18" s="34">
        <v>0</v>
      </c>
      <c r="E18" s="15" t="e">
        <f>VLOOKUP($C18,#REF!,8,0)</f>
        <v>#REF!</v>
      </c>
      <c r="F18" t="s">
        <v>241</v>
      </c>
    </row>
    <row r="19" spans="1:6" x14ac:dyDescent="0.25">
      <c r="A19" s="36">
        <v>16</v>
      </c>
      <c r="B19" s="32" t="s">
        <v>62</v>
      </c>
      <c r="C19" s="35" t="s">
        <v>114</v>
      </c>
      <c r="D19" s="34">
        <v>0</v>
      </c>
      <c r="E19" s="15" t="e">
        <f>VLOOKUP($C19,#REF!,8,0)</f>
        <v>#REF!</v>
      </c>
      <c r="F19" t="s">
        <v>238</v>
      </c>
    </row>
    <row r="20" spans="1:6" x14ac:dyDescent="0.25">
      <c r="A20" s="36">
        <v>17</v>
      </c>
      <c r="B20" s="32" t="s">
        <v>68</v>
      </c>
      <c r="C20" s="35" t="s">
        <v>492</v>
      </c>
      <c r="D20" s="34">
        <v>0</v>
      </c>
      <c r="E20" s="15" t="e">
        <f>VLOOKUP($C20,#REF!,8,0)</f>
        <v>#REF!</v>
      </c>
      <c r="F20" t="s">
        <v>243</v>
      </c>
    </row>
    <row r="21" spans="1:6" x14ac:dyDescent="0.25">
      <c r="A21" s="36">
        <v>18</v>
      </c>
      <c r="B21" s="32" t="s">
        <v>68</v>
      </c>
      <c r="C21" s="35" t="s">
        <v>85</v>
      </c>
      <c r="D21" s="34">
        <v>0</v>
      </c>
      <c r="E21" s="15" t="e">
        <f>VLOOKUP($C21,#REF!,8,0)</f>
        <v>#REF!</v>
      </c>
      <c r="F21" t="s">
        <v>241</v>
      </c>
    </row>
    <row r="22" spans="1:6" x14ac:dyDescent="0.25">
      <c r="A22" s="36">
        <v>19</v>
      </c>
      <c r="B22" s="32" t="s">
        <v>68</v>
      </c>
      <c r="C22" s="35" t="s">
        <v>116</v>
      </c>
      <c r="D22" s="34">
        <v>0</v>
      </c>
      <c r="E22" s="15" t="e">
        <f>VLOOKUP($C22,#REF!,8,0)</f>
        <v>#REF!</v>
      </c>
      <c r="F22" t="s">
        <v>243</v>
      </c>
    </row>
    <row r="23" spans="1:6" x14ac:dyDescent="0.25">
      <c r="A23" s="36">
        <v>20</v>
      </c>
      <c r="B23" s="32" t="s">
        <v>62</v>
      </c>
      <c r="C23" s="35" t="s">
        <v>160</v>
      </c>
      <c r="D23" s="34">
        <v>0</v>
      </c>
      <c r="E23" s="15" t="e">
        <f>VLOOKUP($C23,#REF!,8,0)</f>
        <v>#REF!</v>
      </c>
      <c r="F23" t="s">
        <v>243</v>
      </c>
    </row>
    <row r="24" spans="1:6" x14ac:dyDescent="0.25">
      <c r="A24" s="36">
        <v>21</v>
      </c>
      <c r="B24" s="32" t="s">
        <v>62</v>
      </c>
      <c r="C24" s="35" t="s">
        <v>123</v>
      </c>
      <c r="D24" s="34">
        <v>0</v>
      </c>
      <c r="E24" s="15" t="e">
        <f>VLOOKUP($C24,#REF!,8,0)</f>
        <v>#REF!</v>
      </c>
      <c r="F24" t="s">
        <v>241</v>
      </c>
    </row>
    <row r="25" spans="1:6" x14ac:dyDescent="0.25">
      <c r="A25" s="36">
        <v>22</v>
      </c>
      <c r="B25" s="32" t="s">
        <v>62</v>
      </c>
      <c r="C25" s="35" t="s">
        <v>937</v>
      </c>
      <c r="D25" s="34">
        <v>0</v>
      </c>
      <c r="E25" s="15" t="e">
        <f>VLOOKUP($C25,#REF!,8,0)</f>
        <v>#REF!</v>
      </c>
      <c r="F25" t="s">
        <v>243</v>
      </c>
    </row>
    <row r="26" spans="1:6" x14ac:dyDescent="0.25">
      <c r="A26" s="36">
        <v>23</v>
      </c>
      <c r="B26" s="32" t="s">
        <v>68</v>
      </c>
      <c r="C26" s="35" t="s">
        <v>118</v>
      </c>
      <c r="D26" s="34">
        <v>0</v>
      </c>
      <c r="E26" s="15" t="e">
        <f>VLOOKUP($C26,#REF!,8,0)</f>
        <v>#REF!</v>
      </c>
      <c r="F26" t="s">
        <v>238</v>
      </c>
    </row>
    <row r="27" spans="1:6" x14ac:dyDescent="0.25">
      <c r="A27" s="36">
        <v>24</v>
      </c>
      <c r="B27" s="32" t="s">
        <v>62</v>
      </c>
      <c r="C27" s="35" t="s">
        <v>106</v>
      </c>
      <c r="D27" s="34">
        <v>0</v>
      </c>
      <c r="E27" s="15" t="e">
        <f>VLOOKUP($C27,#REF!,8,0)</f>
        <v>#REF!</v>
      </c>
      <c r="F27" t="s">
        <v>241</v>
      </c>
    </row>
    <row r="28" spans="1:6" x14ac:dyDescent="0.25">
      <c r="A28" s="36">
        <v>25</v>
      </c>
      <c r="B28" s="32" t="s">
        <v>68</v>
      </c>
      <c r="C28" s="33" t="s">
        <v>81</v>
      </c>
      <c r="D28" s="34">
        <v>0</v>
      </c>
      <c r="E28" s="15" t="e">
        <f>VLOOKUP($C28,#REF!,8,0)</f>
        <v>#REF!</v>
      </c>
      <c r="F28" t="s">
        <v>241</v>
      </c>
    </row>
    <row r="29" spans="1:6" x14ac:dyDescent="0.25">
      <c r="A29" s="36">
        <v>26</v>
      </c>
      <c r="B29" s="32" t="s">
        <v>62</v>
      </c>
      <c r="C29" s="35" t="s">
        <v>130</v>
      </c>
      <c r="D29" s="34">
        <v>0</v>
      </c>
      <c r="E29" s="15" t="e">
        <f>VLOOKUP($C29,#REF!,8,0)</f>
        <v>#REF!</v>
      </c>
      <c r="F29" t="s">
        <v>241</v>
      </c>
    </row>
    <row r="30" spans="1:6" x14ac:dyDescent="0.25">
      <c r="A30" s="36">
        <v>27</v>
      </c>
      <c r="B30" s="32" t="s">
        <v>68</v>
      </c>
      <c r="C30" s="35" t="s">
        <v>89</v>
      </c>
      <c r="D30" s="34">
        <v>0</v>
      </c>
      <c r="E30" s="15" t="e">
        <f>VLOOKUP($C30,#REF!,8,0)</f>
        <v>#REF!</v>
      </c>
      <c r="F30" t="s">
        <v>241</v>
      </c>
    </row>
    <row r="31" spans="1:6" x14ac:dyDescent="0.25">
      <c r="A31" s="36">
        <v>28</v>
      </c>
      <c r="B31" s="32" t="s">
        <v>68</v>
      </c>
      <c r="C31" s="35" t="s">
        <v>131</v>
      </c>
      <c r="D31" s="34">
        <v>0</v>
      </c>
      <c r="E31" s="15" t="e">
        <f>VLOOKUP($C31,#REF!,8,0)</f>
        <v>#REF!</v>
      </c>
      <c r="F31" t="s">
        <v>238</v>
      </c>
    </row>
    <row r="32" spans="1:6" x14ac:dyDescent="0.25">
      <c r="A32" s="36">
        <v>29</v>
      </c>
      <c r="B32" s="32" t="s">
        <v>62</v>
      </c>
      <c r="C32" s="35" t="s">
        <v>112</v>
      </c>
      <c r="D32" s="34">
        <v>0</v>
      </c>
      <c r="E32" s="15" t="e">
        <f>VLOOKUP($C32,#REF!,8,0)</f>
        <v>#REF!</v>
      </c>
      <c r="F32" t="s">
        <v>243</v>
      </c>
    </row>
    <row r="33" spans="1:6" x14ac:dyDescent="0.25">
      <c r="A33" s="36">
        <v>30</v>
      </c>
      <c r="B33" s="32" t="s">
        <v>62</v>
      </c>
      <c r="C33" s="35" t="s">
        <v>122</v>
      </c>
      <c r="D33" s="34">
        <v>0</v>
      </c>
      <c r="E33" s="15" t="e">
        <f>VLOOKUP($C33,#REF!,8,0)</f>
        <v>#REF!</v>
      </c>
      <c r="F33" t="s">
        <v>241</v>
      </c>
    </row>
    <row r="34" spans="1:6" x14ac:dyDescent="0.25">
      <c r="A34" s="36">
        <v>31</v>
      </c>
      <c r="B34" s="32" t="s">
        <v>62</v>
      </c>
      <c r="C34" s="35" t="s">
        <v>121</v>
      </c>
      <c r="D34" s="34">
        <v>0</v>
      </c>
      <c r="E34" s="15" t="e">
        <f>VLOOKUP($C34,#REF!,8,0)</f>
        <v>#REF!</v>
      </c>
      <c r="F34" t="s">
        <v>241</v>
      </c>
    </row>
    <row r="35" spans="1:6" x14ac:dyDescent="0.25">
      <c r="A35" s="36">
        <v>32</v>
      </c>
      <c r="B35" s="32" t="s">
        <v>62</v>
      </c>
      <c r="C35" s="35" t="s">
        <v>92</v>
      </c>
      <c r="D35" s="34">
        <v>0</v>
      </c>
      <c r="E35" s="15" t="e">
        <f>VLOOKUP($C35,#REF!,8,0)</f>
        <v>#REF!</v>
      </c>
      <c r="F35" t="s">
        <v>241</v>
      </c>
    </row>
    <row r="36" spans="1:6" x14ac:dyDescent="0.25">
      <c r="A36" s="36">
        <v>33</v>
      </c>
      <c r="B36" s="32" t="s">
        <v>62</v>
      </c>
      <c r="C36" s="35" t="s">
        <v>80</v>
      </c>
      <c r="D36" s="34">
        <v>0</v>
      </c>
      <c r="E36" s="15" t="e">
        <f>VLOOKUP($C36,#REF!,8,0)</f>
        <v>#REF!</v>
      </c>
      <c r="F36" t="s">
        <v>241</v>
      </c>
    </row>
    <row r="37" spans="1:6" x14ac:dyDescent="0.25">
      <c r="A37" s="36">
        <v>34</v>
      </c>
      <c r="B37" s="32" t="s">
        <v>68</v>
      </c>
      <c r="C37" s="35" t="s">
        <v>126</v>
      </c>
      <c r="D37" s="34">
        <v>0</v>
      </c>
      <c r="E37" s="15" t="e">
        <f>VLOOKUP($C37,#REF!,8,0)</f>
        <v>#REF!</v>
      </c>
      <c r="F37" t="s">
        <v>238</v>
      </c>
    </row>
    <row r="38" spans="1:6" x14ac:dyDescent="0.25">
      <c r="A38" s="36">
        <v>35</v>
      </c>
      <c r="B38" s="32" t="s">
        <v>62</v>
      </c>
      <c r="C38" s="35" t="s">
        <v>168</v>
      </c>
      <c r="D38" s="34">
        <v>0</v>
      </c>
      <c r="E38" s="15" t="e">
        <f>VLOOKUP($C38,#REF!,8,0)</f>
        <v>#REF!</v>
      </c>
      <c r="F38" t="s">
        <v>243</v>
      </c>
    </row>
    <row r="39" spans="1:6" x14ac:dyDescent="0.25">
      <c r="A39" s="36">
        <v>36</v>
      </c>
      <c r="B39" s="32" t="s">
        <v>66</v>
      </c>
      <c r="C39" s="35" t="s">
        <v>72</v>
      </c>
      <c r="D39" s="34">
        <v>0</v>
      </c>
      <c r="E39" s="15" t="e">
        <f>VLOOKUP($C39,#REF!,8,0)</f>
        <v>#REF!</v>
      </c>
      <c r="F39" t="s">
        <v>238</v>
      </c>
    </row>
    <row r="40" spans="1:6" x14ac:dyDescent="0.25">
      <c r="A40" s="36">
        <v>37</v>
      </c>
      <c r="B40" s="32" t="s">
        <v>68</v>
      </c>
      <c r="C40" s="35" t="s">
        <v>110</v>
      </c>
      <c r="D40" s="34">
        <v>0</v>
      </c>
      <c r="E40" s="15" t="e">
        <f>VLOOKUP($C40,#REF!,8,0)</f>
        <v>#REF!</v>
      </c>
      <c r="F40" t="s">
        <v>243</v>
      </c>
    </row>
    <row r="41" spans="1:6" x14ac:dyDescent="0.25">
      <c r="A41" s="36">
        <v>38</v>
      </c>
      <c r="B41" s="32" t="s">
        <v>68</v>
      </c>
      <c r="C41" s="35" t="s">
        <v>111</v>
      </c>
      <c r="D41" s="34">
        <v>0</v>
      </c>
      <c r="E41" s="15" t="e">
        <f>VLOOKUP($C41,#REF!,8,0)</f>
        <v>#REF!</v>
      </c>
      <c r="F41" t="s">
        <v>243</v>
      </c>
    </row>
    <row r="42" spans="1:6" x14ac:dyDescent="0.25">
      <c r="A42" s="36">
        <v>39</v>
      </c>
      <c r="B42" s="32" t="s">
        <v>62</v>
      </c>
      <c r="C42" s="35" t="s">
        <v>87</v>
      </c>
      <c r="D42" s="34">
        <v>0</v>
      </c>
      <c r="E42" s="15" t="e">
        <f>VLOOKUP($C42,#REF!,8,0)</f>
        <v>#REF!</v>
      </c>
      <c r="F42" t="s">
        <v>241</v>
      </c>
    </row>
    <row r="43" spans="1:6" x14ac:dyDescent="0.25">
      <c r="A43" s="36">
        <v>40</v>
      </c>
      <c r="B43" s="32" t="s">
        <v>66</v>
      </c>
      <c r="C43" s="109" t="s">
        <v>170</v>
      </c>
      <c r="D43" s="34">
        <v>0</v>
      </c>
      <c r="E43" s="15" t="e">
        <f>VLOOKUP($C43,#REF!,8,0)</f>
        <v>#REF!</v>
      </c>
      <c r="F43" t="s">
        <v>238</v>
      </c>
    </row>
    <row r="44" spans="1:6" x14ac:dyDescent="0.25">
      <c r="A44" s="36">
        <v>41</v>
      </c>
      <c r="B44" s="32" t="s">
        <v>66</v>
      </c>
      <c r="C44" s="35" t="s">
        <v>128</v>
      </c>
      <c r="D44" s="34">
        <v>0</v>
      </c>
      <c r="E44" s="15" t="e">
        <f>VLOOKUP($C44,#REF!,8,0)</f>
        <v>#REF!</v>
      </c>
      <c r="F44" t="s">
        <v>238</v>
      </c>
    </row>
    <row r="45" spans="1:6" x14ac:dyDescent="0.25">
      <c r="A45" s="36">
        <v>42</v>
      </c>
      <c r="B45" s="32" t="s">
        <v>68</v>
      </c>
      <c r="C45" s="35" t="s">
        <v>94</v>
      </c>
      <c r="D45" s="34">
        <v>0</v>
      </c>
      <c r="E45" s="15" t="e">
        <f>VLOOKUP($C45,#REF!,8,0)</f>
        <v>#REF!</v>
      </c>
      <c r="F45" t="s">
        <v>241</v>
      </c>
    </row>
    <row r="46" spans="1:6" x14ac:dyDescent="0.25">
      <c r="A46" s="36">
        <v>43</v>
      </c>
      <c r="B46" s="32" t="s">
        <v>66</v>
      </c>
      <c r="C46" s="35" t="s">
        <v>84</v>
      </c>
      <c r="D46" s="34">
        <v>0</v>
      </c>
      <c r="E46" s="15" t="e">
        <f>VLOOKUP($C46,#REF!,8,0)</f>
        <v>#REF!</v>
      </c>
      <c r="F46" t="s">
        <v>238</v>
      </c>
    </row>
    <row r="47" spans="1:6" x14ac:dyDescent="0.25">
      <c r="A47" s="36">
        <v>44</v>
      </c>
      <c r="B47" s="32" t="s">
        <v>66</v>
      </c>
      <c r="C47" s="35" t="s">
        <v>103</v>
      </c>
      <c r="D47" s="34">
        <v>0</v>
      </c>
      <c r="E47" s="15" t="e">
        <f>VLOOKUP($C47,#REF!,8,0)</f>
        <v>#REF!</v>
      </c>
      <c r="F47" t="s">
        <v>241</v>
      </c>
    </row>
    <row r="48" spans="1:6" x14ac:dyDescent="0.25">
      <c r="A48" s="36">
        <v>45</v>
      </c>
      <c r="B48" s="32" t="s">
        <v>66</v>
      </c>
      <c r="C48" s="35" t="s">
        <v>82</v>
      </c>
      <c r="D48" s="34">
        <v>0</v>
      </c>
      <c r="E48" s="15" t="e">
        <f>VLOOKUP($C48,#REF!,8,0)</f>
        <v>#REF!</v>
      </c>
      <c r="F48" t="s">
        <v>241</v>
      </c>
    </row>
    <row r="49" spans="1:6" x14ac:dyDescent="0.25">
      <c r="A49" s="36">
        <v>46</v>
      </c>
      <c r="B49" s="32" t="s">
        <v>66</v>
      </c>
      <c r="C49" s="35" t="s">
        <v>137</v>
      </c>
      <c r="D49" s="34">
        <v>0</v>
      </c>
      <c r="E49" s="15" t="e">
        <f>VLOOKUP($C49,#REF!,8,0)</f>
        <v>#REF!</v>
      </c>
      <c r="F49" t="s">
        <v>238</v>
      </c>
    </row>
    <row r="50" spans="1:6" x14ac:dyDescent="0.25">
      <c r="A50" s="36">
        <v>47</v>
      </c>
      <c r="B50" s="32" t="s">
        <v>66</v>
      </c>
      <c r="C50" s="35" t="s">
        <v>67</v>
      </c>
      <c r="D50" s="34">
        <v>0</v>
      </c>
      <c r="E50" s="15" t="e">
        <f>VLOOKUP($C50,#REF!,8,0)</f>
        <v>#REF!</v>
      </c>
      <c r="F50" t="s">
        <v>238</v>
      </c>
    </row>
    <row r="51" spans="1:6" x14ac:dyDescent="0.25">
      <c r="A51" s="36">
        <v>48</v>
      </c>
      <c r="B51" s="32" t="s">
        <v>68</v>
      </c>
      <c r="C51" s="35" t="s">
        <v>88</v>
      </c>
      <c r="D51" s="34">
        <v>0</v>
      </c>
      <c r="E51" s="15" t="e">
        <f>VLOOKUP($C51,#REF!,8,0)</f>
        <v>#REF!</v>
      </c>
      <c r="F51" t="s">
        <v>243</v>
      </c>
    </row>
    <row r="52" spans="1:6" x14ac:dyDescent="0.25">
      <c r="A52" s="36">
        <v>49</v>
      </c>
      <c r="B52" s="32" t="s">
        <v>62</v>
      </c>
      <c r="C52" s="35" t="s">
        <v>183</v>
      </c>
      <c r="D52" s="34">
        <v>0</v>
      </c>
      <c r="E52" s="15" t="e">
        <f>VLOOKUP($C52,#REF!,8,0)</f>
        <v>#REF!</v>
      </c>
      <c r="F52" t="s">
        <v>241</v>
      </c>
    </row>
    <row r="53" spans="1:6" x14ac:dyDescent="0.25">
      <c r="A53" s="36">
        <v>50</v>
      </c>
      <c r="B53" s="32" t="s">
        <v>68</v>
      </c>
      <c r="C53" s="35" t="s">
        <v>98</v>
      </c>
      <c r="D53" s="34">
        <v>0</v>
      </c>
      <c r="E53" s="15" t="e">
        <f>VLOOKUP($C53,#REF!,8,0)</f>
        <v>#REF!</v>
      </c>
      <c r="F53" t="s">
        <v>243</v>
      </c>
    </row>
    <row r="54" spans="1:6" x14ac:dyDescent="0.25">
      <c r="A54" s="36">
        <v>51</v>
      </c>
      <c r="B54" s="32" t="s">
        <v>68</v>
      </c>
      <c r="C54" s="35" t="s">
        <v>113</v>
      </c>
      <c r="D54" s="34">
        <v>0</v>
      </c>
      <c r="E54" s="15" t="e">
        <f>VLOOKUP($C54,#REF!,8,0)</f>
        <v>#REF!</v>
      </c>
      <c r="F54" t="s">
        <v>243</v>
      </c>
    </row>
    <row r="55" spans="1:6" x14ac:dyDescent="0.25">
      <c r="A55" s="36">
        <v>52</v>
      </c>
      <c r="B55" s="32" t="s">
        <v>68</v>
      </c>
      <c r="C55" s="35" t="s">
        <v>70</v>
      </c>
      <c r="D55" s="34">
        <v>0</v>
      </c>
      <c r="E55" s="15" t="e">
        <f>VLOOKUP($C55,#REF!,8,0)</f>
        <v>#REF!</v>
      </c>
      <c r="F55" t="s">
        <v>241</v>
      </c>
    </row>
    <row r="56" spans="1:6" x14ac:dyDescent="0.25">
      <c r="A56" s="36">
        <v>53</v>
      </c>
      <c r="B56" s="32" t="s">
        <v>68</v>
      </c>
      <c r="C56" s="35" t="s">
        <v>129</v>
      </c>
      <c r="D56" s="34">
        <v>0</v>
      </c>
      <c r="E56" s="15" t="e">
        <f>VLOOKUP($C56,#REF!,8,0)</f>
        <v>#REF!</v>
      </c>
      <c r="F56" t="s">
        <v>243</v>
      </c>
    </row>
    <row r="57" spans="1:6" x14ac:dyDescent="0.25">
      <c r="A57" s="36">
        <v>54</v>
      </c>
      <c r="B57" s="32" t="s">
        <v>68</v>
      </c>
      <c r="C57" s="35" t="s">
        <v>83</v>
      </c>
      <c r="D57" s="34">
        <v>0</v>
      </c>
      <c r="E57" s="15" t="e">
        <f>VLOOKUP($C57,#REF!,8,0)</f>
        <v>#REF!</v>
      </c>
      <c r="F57" t="s">
        <v>241</v>
      </c>
    </row>
    <row r="58" spans="1:6" x14ac:dyDescent="0.25">
      <c r="A58" s="36">
        <v>55</v>
      </c>
      <c r="B58" s="32" t="s">
        <v>62</v>
      </c>
      <c r="C58" s="35" t="s">
        <v>109</v>
      </c>
      <c r="D58" s="34">
        <v>0</v>
      </c>
      <c r="E58" s="15" t="e">
        <f>VLOOKUP($C58,#REF!,8,0)</f>
        <v>#REF!</v>
      </c>
      <c r="F58" t="s">
        <v>243</v>
      </c>
    </row>
    <row r="59" spans="1:6" x14ac:dyDescent="0.25">
      <c r="A59" s="36">
        <v>56</v>
      </c>
      <c r="B59" s="32" t="s">
        <v>62</v>
      </c>
      <c r="C59" s="35" t="s">
        <v>135</v>
      </c>
      <c r="D59" s="34">
        <v>0</v>
      </c>
      <c r="E59" s="15" t="e">
        <f>VLOOKUP($C59,#REF!,8,0)</f>
        <v>#REF!</v>
      </c>
      <c r="F59" t="s">
        <v>241</v>
      </c>
    </row>
    <row r="60" spans="1:6" x14ac:dyDescent="0.25">
      <c r="A60" s="36">
        <v>57</v>
      </c>
      <c r="B60" s="32" t="s">
        <v>68</v>
      </c>
      <c r="C60" s="35" t="s">
        <v>136</v>
      </c>
      <c r="D60" s="34">
        <v>0</v>
      </c>
      <c r="E60" s="15" t="e">
        <f>VLOOKUP($C60,#REF!,8,0)</f>
        <v>#REF!</v>
      </c>
      <c r="F60" t="s">
        <v>243</v>
      </c>
    </row>
    <row r="61" spans="1:6" x14ac:dyDescent="0.25">
      <c r="A61" s="36">
        <v>58</v>
      </c>
      <c r="B61" s="32" t="s">
        <v>62</v>
      </c>
      <c r="C61" s="35" t="s">
        <v>100</v>
      </c>
      <c r="D61" s="34">
        <v>0</v>
      </c>
      <c r="E61" s="15" t="e">
        <f>VLOOKUP($C61,#REF!,8,0)</f>
        <v>#REF!</v>
      </c>
      <c r="F61" t="s">
        <v>241</v>
      </c>
    </row>
    <row r="62" spans="1:6" x14ac:dyDescent="0.25">
      <c r="A62" s="36">
        <v>59</v>
      </c>
      <c r="B62" s="32" t="s">
        <v>68</v>
      </c>
      <c r="C62" s="35" t="s">
        <v>127</v>
      </c>
      <c r="D62" s="34">
        <v>0</v>
      </c>
      <c r="E62" s="15" t="e">
        <f>VLOOKUP($C62,#REF!,8,0)</f>
        <v>#REF!</v>
      </c>
      <c r="F62" t="s">
        <v>241</v>
      </c>
    </row>
    <row r="63" spans="1:6" x14ac:dyDescent="0.25">
      <c r="A63" s="36">
        <v>60</v>
      </c>
      <c r="B63" s="32" t="s">
        <v>68</v>
      </c>
      <c r="C63" s="35" t="s">
        <v>79</v>
      </c>
      <c r="D63" s="34">
        <v>0</v>
      </c>
      <c r="E63" s="15" t="e">
        <f>VLOOKUP($C63,#REF!,8,0)</f>
        <v>#REF!</v>
      </c>
      <c r="F63" t="s">
        <v>241</v>
      </c>
    </row>
    <row r="64" spans="1:6" x14ac:dyDescent="0.25">
      <c r="A64" s="36">
        <v>61</v>
      </c>
      <c r="B64" s="32" t="s">
        <v>66</v>
      </c>
      <c r="C64" s="35" t="s">
        <v>187</v>
      </c>
      <c r="D64" s="34">
        <v>0</v>
      </c>
      <c r="E64" s="15" t="e">
        <f>VLOOKUP($C64,#REF!,8,0)</f>
        <v>#REF!</v>
      </c>
      <c r="F64" t="s">
        <v>243</v>
      </c>
    </row>
    <row r="65" spans="1:6" x14ac:dyDescent="0.25">
      <c r="A65" s="36">
        <v>62</v>
      </c>
      <c r="B65" s="32" t="s">
        <v>66</v>
      </c>
      <c r="C65" s="35" t="s">
        <v>71</v>
      </c>
      <c r="D65" s="34">
        <v>0</v>
      </c>
      <c r="E65" s="15" t="e">
        <f>VLOOKUP($C65,#REF!,8,0)</f>
        <v>#REF!</v>
      </c>
      <c r="F65" t="s">
        <v>238</v>
      </c>
    </row>
    <row r="66" spans="1:6" x14ac:dyDescent="0.25">
      <c r="A66" s="36">
        <v>63</v>
      </c>
      <c r="B66" s="32" t="s">
        <v>68</v>
      </c>
      <c r="C66" s="35" t="s">
        <v>101</v>
      </c>
      <c r="D66" s="34">
        <v>0</v>
      </c>
      <c r="E66" s="15" t="e">
        <f>VLOOKUP($C66,#REF!,8,0)</f>
        <v>#REF!</v>
      </c>
      <c r="F66" t="s">
        <v>238</v>
      </c>
    </row>
    <row r="67" spans="1:6" x14ac:dyDescent="0.25">
      <c r="A67" s="36">
        <v>64</v>
      </c>
      <c r="B67" s="32" t="s">
        <v>68</v>
      </c>
      <c r="C67" s="35" t="s">
        <v>138</v>
      </c>
      <c r="D67" s="34">
        <v>0</v>
      </c>
      <c r="E67" s="15" t="e">
        <f>VLOOKUP($C67,#REF!,8,0)</f>
        <v>#REF!</v>
      </c>
      <c r="F67" t="s">
        <v>238</v>
      </c>
    </row>
    <row r="68" spans="1:6" x14ac:dyDescent="0.25">
      <c r="A68" s="36">
        <v>65</v>
      </c>
      <c r="B68" s="32" t="s">
        <v>68</v>
      </c>
      <c r="C68" s="35" t="s">
        <v>134</v>
      </c>
      <c r="D68" s="34">
        <v>0</v>
      </c>
      <c r="E68" s="15" t="e">
        <f>VLOOKUP($C68,#REF!,8,0)</f>
        <v>#REF!</v>
      </c>
      <c r="F68" t="s">
        <v>241</v>
      </c>
    </row>
    <row r="69" spans="1:6" x14ac:dyDescent="0.25">
      <c r="A69" s="36">
        <v>66</v>
      </c>
      <c r="B69" s="32" t="s">
        <v>62</v>
      </c>
      <c r="C69" s="35" t="s">
        <v>108</v>
      </c>
      <c r="D69" s="34">
        <v>0</v>
      </c>
      <c r="E69" s="15" t="e">
        <f>VLOOKUP($C69,#REF!,8,0)</f>
        <v>#REF!</v>
      </c>
      <c r="F69" t="s">
        <v>241</v>
      </c>
    </row>
    <row r="70" spans="1:6" x14ac:dyDescent="0.25">
      <c r="A70" s="36">
        <v>67</v>
      </c>
      <c r="B70" s="32" t="s">
        <v>68</v>
      </c>
      <c r="C70" s="35" t="s">
        <v>104</v>
      </c>
      <c r="D70" s="34">
        <v>0</v>
      </c>
      <c r="E70" s="15" t="e">
        <f>VLOOKUP($C70,#REF!,8,0)</f>
        <v>#REF!</v>
      </c>
      <c r="F70" t="s">
        <v>241</v>
      </c>
    </row>
    <row r="71" spans="1:6" x14ac:dyDescent="0.25">
      <c r="A71" s="36">
        <v>68</v>
      </c>
      <c r="B71" s="32" t="s">
        <v>62</v>
      </c>
      <c r="C71" s="35" t="s">
        <v>115</v>
      </c>
      <c r="D71" s="34">
        <v>0</v>
      </c>
      <c r="E71" s="15" t="e">
        <f>VLOOKUP($C71,#REF!,8,0)</f>
        <v>#REF!</v>
      </c>
      <c r="F71" t="s">
        <v>243</v>
      </c>
    </row>
    <row r="72" spans="1:6" x14ac:dyDescent="0.25">
      <c r="A72" s="36">
        <v>69</v>
      </c>
      <c r="B72" s="32" t="s">
        <v>68</v>
      </c>
      <c r="C72" s="35" t="s">
        <v>192</v>
      </c>
      <c r="D72" s="34">
        <v>0</v>
      </c>
      <c r="E72" s="15" t="e">
        <f>VLOOKUP($C72,#REF!,8,0)</f>
        <v>#REF!</v>
      </c>
      <c r="F72" t="s">
        <v>243</v>
      </c>
    </row>
    <row r="73" spans="1:6" x14ac:dyDescent="0.25">
      <c r="A73" s="36">
        <v>70</v>
      </c>
      <c r="B73" s="32" t="s">
        <v>68</v>
      </c>
      <c r="C73" s="35" t="s">
        <v>107</v>
      </c>
      <c r="D73" s="34">
        <v>0</v>
      </c>
      <c r="E73" s="15" t="e">
        <f>VLOOKUP($C73,#REF!,8,0)</f>
        <v>#REF!</v>
      </c>
      <c r="F73" t="s">
        <v>241</v>
      </c>
    </row>
    <row r="74" spans="1:6" x14ac:dyDescent="0.25">
      <c r="A74" s="36">
        <v>71</v>
      </c>
      <c r="B74" s="32" t="s">
        <v>66</v>
      </c>
      <c r="C74" s="35" t="s">
        <v>132</v>
      </c>
      <c r="D74" s="34">
        <v>0</v>
      </c>
      <c r="E74" s="15" t="e">
        <f>VLOOKUP($C74,#REF!,8,0)</f>
        <v>#REF!</v>
      </c>
      <c r="F74" t="s">
        <v>241</v>
      </c>
    </row>
    <row r="75" spans="1:6" x14ac:dyDescent="0.25">
      <c r="A75" s="36">
        <v>72</v>
      </c>
      <c r="B75" s="32" t="s">
        <v>62</v>
      </c>
      <c r="C75" s="35" t="s">
        <v>102</v>
      </c>
      <c r="D75" s="34">
        <v>0</v>
      </c>
      <c r="E75" s="15" t="e">
        <f>VLOOKUP($C75,#REF!,8,0)</f>
        <v>#REF!</v>
      </c>
      <c r="F75" t="s">
        <v>243</v>
      </c>
    </row>
    <row r="76" spans="1:6" x14ac:dyDescent="0.25">
      <c r="A76" s="36">
        <v>73</v>
      </c>
      <c r="B76" s="32" t="s">
        <v>66</v>
      </c>
      <c r="C76" s="35" t="s">
        <v>117</v>
      </c>
      <c r="D76" s="34">
        <v>0</v>
      </c>
      <c r="E76" s="15" t="e">
        <f>VLOOKUP($C76,#REF!,8,0)</f>
        <v>#REF!</v>
      </c>
      <c r="F76" t="s">
        <v>243</v>
      </c>
    </row>
    <row r="77" spans="1:6" x14ac:dyDescent="0.25">
      <c r="A77" s="36">
        <v>74</v>
      </c>
      <c r="B77" s="32" t="s">
        <v>66</v>
      </c>
      <c r="C77" s="35" t="s">
        <v>74</v>
      </c>
      <c r="D77" s="34">
        <v>0</v>
      </c>
      <c r="E77" s="15" t="e">
        <f>VLOOKUP($C77,#REF!,8,0)</f>
        <v>#REF!</v>
      </c>
      <c r="F77" t="s">
        <v>238</v>
      </c>
    </row>
    <row r="78" spans="1:6" x14ac:dyDescent="0.25">
      <c r="A78" s="36">
        <v>75</v>
      </c>
      <c r="B78" s="32" t="s">
        <v>68</v>
      </c>
      <c r="C78" s="35" t="s">
        <v>120</v>
      </c>
      <c r="D78" s="34">
        <v>0</v>
      </c>
      <c r="E78" s="15" t="e">
        <f>VLOOKUP($C78,#REF!,8,0)</f>
        <v>#REF!</v>
      </c>
      <c r="F78" t="s">
        <v>241</v>
      </c>
    </row>
    <row r="79" spans="1:6" x14ac:dyDescent="0.25">
      <c r="A79" s="36">
        <v>76</v>
      </c>
      <c r="B79" s="32" t="s">
        <v>68</v>
      </c>
      <c r="C79" s="35" t="s">
        <v>146</v>
      </c>
      <c r="D79" s="34">
        <v>0</v>
      </c>
      <c r="E79" s="15" t="e">
        <f>VLOOKUP($C79,#REF!,8,0)</f>
        <v>#REF!</v>
      </c>
      <c r="F79" t="s">
        <v>238</v>
      </c>
    </row>
    <row r="80" spans="1:6" x14ac:dyDescent="0.25">
      <c r="A80" s="36">
        <v>77</v>
      </c>
      <c r="B80" s="32" t="s">
        <v>66</v>
      </c>
      <c r="C80" s="109" t="s">
        <v>143</v>
      </c>
      <c r="D80" s="34">
        <v>0</v>
      </c>
      <c r="E80" s="15" t="e">
        <f>VLOOKUP($C80,#REF!,8,0)</f>
        <v>#REF!</v>
      </c>
      <c r="F80" t="s">
        <v>238</v>
      </c>
    </row>
    <row r="81" spans="1:6" x14ac:dyDescent="0.25">
      <c r="A81" s="36">
        <v>78</v>
      </c>
      <c r="B81" s="32" t="s">
        <v>68</v>
      </c>
      <c r="C81" s="35" t="s">
        <v>133</v>
      </c>
      <c r="D81" s="34">
        <v>0</v>
      </c>
      <c r="E81" s="15" t="e">
        <f>VLOOKUP($C81,#REF!,8,0)</f>
        <v>#REF!</v>
      </c>
      <c r="F81" t="s">
        <v>243</v>
      </c>
    </row>
    <row r="82" spans="1:6" x14ac:dyDescent="0.25">
      <c r="A82" s="36">
        <v>79</v>
      </c>
      <c r="B82" s="32" t="s">
        <v>68</v>
      </c>
      <c r="C82" s="35" t="s">
        <v>96</v>
      </c>
      <c r="D82" s="34">
        <v>0</v>
      </c>
      <c r="E82" s="15" t="e">
        <f>VLOOKUP($C82,#REF!,8,0)</f>
        <v>#REF!</v>
      </c>
      <c r="F82" t="s">
        <v>241</v>
      </c>
    </row>
    <row r="83" spans="1:6" x14ac:dyDescent="0.25">
      <c r="A83" s="36">
        <v>80</v>
      </c>
      <c r="B83" s="32" t="s">
        <v>62</v>
      </c>
      <c r="C83" s="35" t="s">
        <v>75</v>
      </c>
      <c r="D83" s="34">
        <v>0</v>
      </c>
      <c r="E83" s="15" t="e">
        <f>VLOOKUP($C83,#REF!,8,0)</f>
        <v>#REF!</v>
      </c>
      <c r="F83" t="s">
        <v>243</v>
      </c>
    </row>
  </sheetData>
  <autoFilter ref="A3:F83" xr:uid="{C3B0584F-8B96-4248-88F0-84DD1F276B7B}"/>
  <conditionalFormatting sqref="C80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0DBA-77F7-41EB-8890-F7967FE59128}">
  <sheetPr>
    <tabColor rgb="FFFF9900"/>
  </sheetPr>
  <dimension ref="A1:AA19"/>
  <sheetViews>
    <sheetView zoomScale="90" zoomScaleNormal="90" workbookViewId="0">
      <pane xSplit="7" ySplit="7" topLeftCell="H8" activePane="bottomRight" state="frozen"/>
      <selection activeCell="G23" sqref="G23"/>
      <selection pane="topRight" activeCell="G23" sqref="G23"/>
      <selection pane="bottomLeft" activeCell="G23" sqref="G23"/>
      <selection pane="bottomRight" activeCell="R10" sqref="R10"/>
    </sheetView>
  </sheetViews>
  <sheetFormatPr defaultColWidth="9.140625" defaultRowHeight="15" x14ac:dyDescent="0.25"/>
  <cols>
    <col min="1" max="1" width="13.42578125" style="38" bestFit="1" customWidth="1"/>
    <col min="2" max="2" width="40.42578125" style="10" customWidth="1"/>
    <col min="3" max="3" width="44.5703125" style="10" customWidth="1"/>
    <col min="4" max="4" width="8.140625" style="75" bestFit="1" customWidth="1"/>
    <col min="5" max="5" width="9.85546875" style="75" customWidth="1"/>
    <col min="6" max="6" width="17" style="90" customWidth="1"/>
    <col min="7" max="7" width="13.5703125" style="10" bestFit="1" customWidth="1"/>
    <col min="8" max="8" width="10.5703125" style="10" customWidth="1"/>
    <col min="9" max="16" width="13.42578125" style="10" customWidth="1"/>
    <col min="17" max="17" width="12.42578125" style="10" customWidth="1"/>
    <col min="18" max="18" width="12.5703125" style="10" customWidth="1"/>
    <col min="19" max="19" width="12.42578125" style="10" customWidth="1"/>
    <col min="20" max="20" width="43.85546875" style="10" customWidth="1"/>
    <col min="21" max="25" width="9.140625" style="10"/>
    <col min="26" max="26" width="26.140625" style="10" bestFit="1" customWidth="1"/>
    <col min="27" max="16384" width="9.140625" style="10"/>
  </cols>
  <sheetData>
    <row r="1" spans="1:27" s="47" customFormat="1" hidden="1" x14ac:dyDescent="0.25">
      <c r="A1" s="48"/>
      <c r="C1" s="47" t="s">
        <v>353</v>
      </c>
      <c r="D1" s="73" t="s">
        <v>354</v>
      </c>
      <c r="E1" s="74"/>
      <c r="F1" s="74"/>
    </row>
    <row r="2" spans="1:27" x14ac:dyDescent="0.25">
      <c r="D2" s="10"/>
      <c r="F2" s="76" t="s">
        <v>221</v>
      </c>
      <c r="G2" s="71"/>
    </row>
    <row r="3" spans="1:27" x14ac:dyDescent="0.25">
      <c r="F3" s="76"/>
      <c r="G3" s="44"/>
      <c r="H3" s="77">
        <v>0</v>
      </c>
      <c r="I3" s="44">
        <v>0</v>
      </c>
      <c r="J3" s="44">
        <v>0</v>
      </c>
      <c r="K3" s="44">
        <v>0</v>
      </c>
      <c r="L3" s="44">
        <v>1150.7936507936508</v>
      </c>
      <c r="M3" s="44">
        <v>4833.333333333333</v>
      </c>
      <c r="N3" s="44">
        <v>4833.333333333333</v>
      </c>
      <c r="O3" s="44">
        <v>4833.333333333333</v>
      </c>
      <c r="P3" s="44">
        <v>4833.333333333333</v>
      </c>
      <c r="Q3" s="44">
        <v>4833.333333333333</v>
      </c>
      <c r="R3" s="44">
        <v>4833.333333333333</v>
      </c>
      <c r="S3" s="44">
        <v>4833.333333333333</v>
      </c>
    </row>
    <row r="4" spans="1:27" s="84" customFormat="1" ht="13.5" hidden="1" thickBot="1" x14ac:dyDescent="0.3">
      <c r="A4" s="78" t="s">
        <v>272</v>
      </c>
      <c r="B4" s="79" t="s">
        <v>270</v>
      </c>
      <c r="C4" s="79" t="s">
        <v>271</v>
      </c>
      <c r="D4" s="78" t="s">
        <v>274</v>
      </c>
      <c r="E4" s="80" t="s">
        <v>366</v>
      </c>
      <c r="F4" s="81"/>
      <c r="G4" s="82" t="s">
        <v>221</v>
      </c>
      <c r="H4" s="83">
        <v>45658</v>
      </c>
      <c r="I4" s="83">
        <v>45689</v>
      </c>
      <c r="J4" s="83">
        <v>45717</v>
      </c>
      <c r="K4" s="83">
        <v>45748</v>
      </c>
      <c r="L4" s="83">
        <v>45778</v>
      </c>
      <c r="M4" s="83">
        <v>45809</v>
      </c>
      <c r="N4" s="83">
        <v>45839</v>
      </c>
      <c r="O4" s="83">
        <v>45870</v>
      </c>
      <c r="P4" s="83">
        <v>45901</v>
      </c>
      <c r="Q4" s="83">
        <v>45931</v>
      </c>
      <c r="R4" s="83">
        <v>45962</v>
      </c>
      <c r="S4" s="83">
        <v>45992</v>
      </c>
    </row>
    <row r="5" spans="1:27" s="84" customFormat="1" ht="12.75" hidden="1" x14ac:dyDescent="0.25">
      <c r="A5" s="85"/>
      <c r="B5" s="86"/>
      <c r="C5" s="86"/>
      <c r="D5" s="85"/>
      <c r="E5" s="87" t="s">
        <v>367</v>
      </c>
      <c r="F5" s="87"/>
      <c r="G5" s="88"/>
      <c r="H5" s="84" t="s">
        <v>370</v>
      </c>
      <c r="I5" s="84" t="s">
        <v>371</v>
      </c>
      <c r="J5" s="84" t="s">
        <v>372</v>
      </c>
      <c r="K5" s="84" t="s">
        <v>373</v>
      </c>
      <c r="L5" s="84" t="s">
        <v>358</v>
      </c>
      <c r="M5" s="84" t="s">
        <v>340</v>
      </c>
      <c r="N5" s="84" t="s">
        <v>359</v>
      </c>
      <c r="O5" s="84" t="s">
        <v>360</v>
      </c>
      <c r="P5" s="84" t="s">
        <v>341</v>
      </c>
      <c r="Q5" s="84" t="s">
        <v>361</v>
      </c>
      <c r="R5" s="84" t="s">
        <v>362</v>
      </c>
      <c r="S5" s="89" t="s">
        <v>342</v>
      </c>
    </row>
    <row r="6" spans="1:27" s="84" customFormat="1" ht="12.75" hidden="1" x14ac:dyDescent="0.25">
      <c r="A6" s="85"/>
      <c r="B6" s="86"/>
      <c r="C6" s="86"/>
      <c r="D6" s="85"/>
      <c r="E6" s="87" t="s">
        <v>368</v>
      </c>
      <c r="F6" s="87"/>
      <c r="G6" s="88"/>
      <c r="H6" s="84" t="s">
        <v>370</v>
      </c>
      <c r="I6" s="84" t="s">
        <v>371</v>
      </c>
      <c r="J6" s="84" t="s">
        <v>372</v>
      </c>
      <c r="K6" s="84" t="s">
        <v>373</v>
      </c>
      <c r="L6" s="84" t="s">
        <v>358</v>
      </c>
      <c r="M6" s="84" t="s">
        <v>340</v>
      </c>
      <c r="N6" s="84" t="s">
        <v>359</v>
      </c>
      <c r="O6" s="84" t="s">
        <v>360</v>
      </c>
      <c r="P6" s="84" t="s">
        <v>341</v>
      </c>
      <c r="Q6" s="84" t="s">
        <v>361</v>
      </c>
      <c r="R6" s="84" t="s">
        <v>362</v>
      </c>
      <c r="S6" s="89" t="s">
        <v>342</v>
      </c>
    </row>
    <row r="7" spans="1:27" x14ac:dyDescent="0.25">
      <c r="A7" s="57" t="s">
        <v>369</v>
      </c>
      <c r="B7" s="57" t="s">
        <v>270</v>
      </c>
      <c r="C7" s="57" t="s">
        <v>271</v>
      </c>
      <c r="D7" s="57" t="s">
        <v>274</v>
      </c>
      <c r="E7" s="57" t="s">
        <v>366</v>
      </c>
      <c r="F7" s="57" t="s">
        <v>356</v>
      </c>
      <c r="G7" s="57" t="s">
        <v>221</v>
      </c>
      <c r="H7" s="59">
        <v>46023</v>
      </c>
      <c r="I7" s="59">
        <v>46054</v>
      </c>
      <c r="J7" s="59">
        <v>46082</v>
      </c>
      <c r="K7" s="59">
        <v>46113</v>
      </c>
      <c r="L7" s="59">
        <v>46143</v>
      </c>
      <c r="M7" s="59">
        <v>46174</v>
      </c>
      <c r="N7" s="59">
        <v>46204</v>
      </c>
      <c r="O7" s="59">
        <v>46235</v>
      </c>
      <c r="P7" s="59">
        <v>46266</v>
      </c>
      <c r="Q7" s="59">
        <v>46296</v>
      </c>
      <c r="R7" s="59">
        <v>46327</v>
      </c>
      <c r="S7" s="59">
        <v>46357</v>
      </c>
      <c r="T7" s="57" t="s">
        <v>334</v>
      </c>
    </row>
    <row r="8" spans="1:27" ht="28.7" customHeight="1" x14ac:dyDescent="0.25">
      <c r="A8" s="41"/>
      <c r="B8" s="61"/>
      <c r="C8" s="61"/>
      <c r="D8" s="92"/>
      <c r="E8" s="92"/>
      <c r="F8" s="93"/>
      <c r="G8" s="62"/>
      <c r="H8" s="62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61"/>
      <c r="Z8" s="6" t="e">
        <f>_xlfn.XLOOKUP($B8,#REF!,#REF!,"-",0)</f>
        <v>#REF!</v>
      </c>
      <c r="AA8" s="10">
        <f t="shared" ref="AA8:AA17" si="0">IF(G8&gt;0,1,IF(G8&lt;0,-1,0))</f>
        <v>0</v>
      </c>
    </row>
    <row r="9" spans="1:27" ht="28.7" customHeight="1" x14ac:dyDescent="0.25">
      <c r="A9" s="41"/>
      <c r="B9" s="61"/>
      <c r="C9" s="61"/>
      <c r="D9" s="92"/>
      <c r="E9" s="92"/>
      <c r="F9" s="93"/>
      <c r="G9" s="62"/>
      <c r="H9" s="62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61"/>
      <c r="Z9" s="6" t="e">
        <f>_xlfn.XLOOKUP($B9,#REF!,#REF!,"-",0)</f>
        <v>#REF!</v>
      </c>
      <c r="AA9" s="10">
        <f t="shared" si="0"/>
        <v>0</v>
      </c>
    </row>
    <row r="10" spans="1:27" ht="28.7" customHeight="1" x14ac:dyDescent="0.25">
      <c r="A10" s="41"/>
      <c r="B10" s="61"/>
      <c r="C10" s="61"/>
      <c r="D10" s="92"/>
      <c r="E10" s="92"/>
      <c r="F10" s="93"/>
      <c r="G10" s="62"/>
      <c r="H10" s="62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61"/>
      <c r="Z10" s="6" t="e">
        <f>_xlfn.XLOOKUP($B10,#REF!,#REF!,"-",0)</f>
        <v>#REF!</v>
      </c>
      <c r="AA10" s="10">
        <f t="shared" ref="AA10" si="1">IF(G10&gt;0,1,IF(G10&lt;0,-1,0))</f>
        <v>0</v>
      </c>
    </row>
    <row r="11" spans="1:27" ht="28.7" customHeight="1" x14ac:dyDescent="0.25">
      <c r="A11" s="41"/>
      <c r="B11" s="61"/>
      <c r="C11" s="61"/>
      <c r="D11" s="92"/>
      <c r="E11" s="92"/>
      <c r="F11" s="93"/>
      <c r="G11" s="62"/>
      <c r="H11" s="62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61"/>
      <c r="Z11" s="6" t="e">
        <f>_xlfn.XLOOKUP($B11,#REF!,#REF!,"-",0)</f>
        <v>#REF!</v>
      </c>
      <c r="AA11" s="10">
        <f t="shared" ref="AA11" si="2">IF(G11&gt;0,1,IF(G11&lt;0,-1,0))</f>
        <v>0</v>
      </c>
    </row>
    <row r="12" spans="1:27" ht="28.7" customHeight="1" x14ac:dyDescent="0.25">
      <c r="A12" s="41"/>
      <c r="B12" s="61"/>
      <c r="C12" s="61"/>
      <c r="D12" s="92"/>
      <c r="E12" s="92"/>
      <c r="F12" s="93"/>
      <c r="G12" s="62"/>
      <c r="H12" s="62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61"/>
      <c r="Z12" s="6" t="e">
        <f>_xlfn.XLOOKUP($B12,#REF!,#REF!,"-",0)</f>
        <v>#REF!</v>
      </c>
      <c r="AA12" s="10">
        <f t="shared" ref="AA12" si="3">IF(G12&gt;0,1,IF(G12&lt;0,-1,0))</f>
        <v>0</v>
      </c>
    </row>
    <row r="13" spans="1:27" ht="28.7" customHeight="1" x14ac:dyDescent="0.25">
      <c r="A13" s="41"/>
      <c r="B13" s="61"/>
      <c r="C13" s="61"/>
      <c r="D13" s="92"/>
      <c r="E13" s="92"/>
      <c r="F13" s="93"/>
      <c r="G13" s="62"/>
      <c r="H13" s="62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61"/>
      <c r="Z13" s="6" t="e">
        <f>_xlfn.XLOOKUP($B13,#REF!,#REF!,"-",0)</f>
        <v>#REF!</v>
      </c>
      <c r="AA13" s="10">
        <f t="shared" si="0"/>
        <v>0</v>
      </c>
    </row>
    <row r="14" spans="1:27" ht="28.7" customHeight="1" x14ac:dyDescent="0.25">
      <c r="A14" s="41"/>
      <c r="B14" s="61"/>
      <c r="C14" s="61"/>
      <c r="D14" s="92"/>
      <c r="E14" s="92"/>
      <c r="F14" s="93"/>
      <c r="G14" s="62"/>
      <c r="H14" s="62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61"/>
      <c r="Z14" s="6" t="e">
        <f>_xlfn.XLOOKUP($B14,#REF!,#REF!,"-",0)</f>
        <v>#REF!</v>
      </c>
      <c r="AA14" s="10">
        <f t="shared" si="0"/>
        <v>0</v>
      </c>
    </row>
    <row r="15" spans="1:27" ht="28.7" customHeight="1" x14ac:dyDescent="0.25">
      <c r="A15" s="41"/>
      <c r="B15" s="61"/>
      <c r="C15" s="61"/>
      <c r="D15" s="92"/>
      <c r="E15" s="92"/>
      <c r="F15" s="93"/>
      <c r="G15" s="62"/>
      <c r="H15" s="62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61"/>
      <c r="Z15" s="6" t="e">
        <f>_xlfn.XLOOKUP($B15,#REF!,#REF!,"-",0)</f>
        <v>#REF!</v>
      </c>
      <c r="AA15" s="10">
        <f t="shared" si="0"/>
        <v>0</v>
      </c>
    </row>
    <row r="16" spans="1:27" ht="28.7" customHeight="1" x14ac:dyDescent="0.25">
      <c r="A16" s="41"/>
      <c r="B16" s="61"/>
      <c r="C16" s="61"/>
      <c r="D16" s="92"/>
      <c r="E16" s="92"/>
      <c r="F16" s="93"/>
      <c r="G16" s="62"/>
      <c r="H16" s="62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61"/>
      <c r="Z16" s="102"/>
      <c r="AA16" s="10">
        <f t="shared" si="0"/>
        <v>0</v>
      </c>
    </row>
    <row r="17" spans="1:27" ht="28.7" customHeight="1" x14ac:dyDescent="0.25">
      <c r="A17" s="41"/>
      <c r="B17" s="61"/>
      <c r="C17" s="61"/>
      <c r="D17" s="92"/>
      <c r="E17" s="92"/>
      <c r="F17" s="93"/>
      <c r="G17" s="62"/>
      <c r="H17" s="62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61"/>
      <c r="Z17" s="102"/>
      <c r="AA17" s="10">
        <f t="shared" si="0"/>
        <v>0</v>
      </c>
    </row>
    <row r="18" spans="1:27" x14ac:dyDescent="0.25">
      <c r="G18" s="91"/>
    </row>
    <row r="19" spans="1:27" x14ac:dyDescent="0.25">
      <c r="G19" s="43"/>
    </row>
  </sheetData>
  <autoFilter ref="A7:T18" xr:uid="{00000000-0009-0000-0000-000028000000}"/>
  <conditionalFormatting sqref="G2:S17">
    <cfRule type="cellIs" dxfId="2" priority="2" operator="lessThan">
      <formula>0</formula>
    </cfRule>
  </conditionalFormatting>
  <conditionalFormatting sqref="T7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0EC6-A768-47C1-819E-C31081E5F821}">
  <sheetPr>
    <tabColor rgb="FFFF9900"/>
  </sheetPr>
  <dimension ref="A1:AA20"/>
  <sheetViews>
    <sheetView topLeftCell="A2" zoomScale="85" zoomScaleNormal="85" workbookViewId="0">
      <pane xSplit="8" ySplit="6" topLeftCell="I8" activePane="bottomRight" state="frozen"/>
      <selection activeCell="A2" sqref="A2"/>
      <selection pane="topRight" activeCell="I2" sqref="I2"/>
      <selection pane="bottomLeft" activeCell="A8" sqref="A8"/>
      <selection pane="bottomRight" activeCell="A2" sqref="A2"/>
    </sheetView>
  </sheetViews>
  <sheetFormatPr defaultColWidth="9.140625" defaultRowHeight="15" x14ac:dyDescent="0.25"/>
  <cols>
    <col min="1" max="1" width="12" style="38" bestFit="1" customWidth="1"/>
    <col min="2" max="2" width="28.42578125" style="10" customWidth="1"/>
    <col min="3" max="3" width="39.85546875" style="10" customWidth="1"/>
    <col min="4" max="4" width="12.5703125" style="38" bestFit="1" customWidth="1"/>
    <col min="5" max="5" width="16.42578125" style="38" bestFit="1" customWidth="1"/>
    <col min="6" max="7" width="16.42578125" style="38" customWidth="1"/>
    <col min="8" max="8" width="16.42578125" style="10" bestFit="1" customWidth="1"/>
    <col min="9" max="9" width="17.5703125" style="10" customWidth="1"/>
    <col min="10" max="11" width="14.85546875" style="10" customWidth="1"/>
    <col min="12" max="12" width="17.42578125" style="10" customWidth="1"/>
    <col min="13" max="16" width="14.85546875" style="10" customWidth="1"/>
    <col min="17" max="17" width="15.5703125" style="10" customWidth="1"/>
    <col min="18" max="20" width="14" style="10" customWidth="1"/>
    <col min="21" max="21" width="50.42578125" style="10" customWidth="1"/>
    <col min="22" max="23" width="13.42578125" style="10" bestFit="1" customWidth="1"/>
    <col min="24" max="16384" width="9.140625" style="10"/>
  </cols>
  <sheetData>
    <row r="1" spans="1:27" s="47" customFormat="1" ht="30" hidden="1" customHeight="1" x14ac:dyDescent="0.25">
      <c r="A1" s="48" t="s">
        <v>352</v>
      </c>
      <c r="D1" s="48" t="s">
        <v>353</v>
      </c>
      <c r="E1" s="48" t="s">
        <v>354</v>
      </c>
      <c r="F1" s="48"/>
      <c r="G1" s="48"/>
      <c r="I1" s="67">
        <v>0</v>
      </c>
    </row>
    <row r="2" spans="1:27" x14ac:dyDescent="0.25">
      <c r="G2" s="41" t="s">
        <v>221</v>
      </c>
      <c r="H2" s="68"/>
      <c r="I2" s="69"/>
      <c r="Q2" s="43"/>
      <c r="R2" s="43"/>
      <c r="T2" s="43"/>
      <c r="U2" s="43"/>
    </row>
    <row r="3" spans="1:27" x14ac:dyDescent="0.25">
      <c r="G3" s="41"/>
      <c r="H3" s="44">
        <f t="shared" ref="H3:T3" si="0">SUBTOTAL(9,H8:H1048576)</f>
        <v>0</v>
      </c>
      <c r="I3" s="44">
        <f t="shared" si="0"/>
        <v>0</v>
      </c>
      <c r="J3" s="44">
        <f t="shared" si="0"/>
        <v>0</v>
      </c>
      <c r="K3" s="44">
        <f t="shared" si="0"/>
        <v>0</v>
      </c>
      <c r="L3" s="44">
        <f t="shared" si="0"/>
        <v>0</v>
      </c>
      <c r="M3" s="44">
        <f t="shared" si="0"/>
        <v>0</v>
      </c>
      <c r="N3" s="44">
        <f t="shared" si="0"/>
        <v>0</v>
      </c>
      <c r="O3" s="44">
        <f t="shared" si="0"/>
        <v>0</v>
      </c>
      <c r="P3" s="44">
        <f t="shared" si="0"/>
        <v>0</v>
      </c>
      <c r="Q3" s="44">
        <f t="shared" si="0"/>
        <v>0</v>
      </c>
      <c r="R3" s="44">
        <f t="shared" si="0"/>
        <v>0</v>
      </c>
      <c r="S3" s="44">
        <f t="shared" si="0"/>
        <v>0</v>
      </c>
      <c r="T3" s="44">
        <f t="shared" si="0"/>
        <v>0</v>
      </c>
    </row>
    <row r="4" spans="1:27" s="47" customFormat="1" hidden="1" x14ac:dyDescent="0.25">
      <c r="A4" s="48"/>
      <c r="D4" s="48"/>
      <c r="E4" s="48"/>
      <c r="F4" s="48"/>
      <c r="G4" s="48"/>
      <c r="I4" s="70">
        <v>44652</v>
      </c>
      <c r="J4" s="70">
        <v>44682</v>
      </c>
      <c r="K4" s="70">
        <v>44713</v>
      </c>
      <c r="L4" s="70">
        <v>44743</v>
      </c>
      <c r="M4" s="70">
        <v>44774</v>
      </c>
      <c r="N4" s="70">
        <v>44805</v>
      </c>
      <c r="O4" s="70">
        <v>44835</v>
      </c>
      <c r="P4" s="70">
        <v>44866</v>
      </c>
      <c r="Q4" s="70">
        <v>44896</v>
      </c>
      <c r="R4" s="70">
        <v>44927</v>
      </c>
      <c r="S4" s="70">
        <v>44958</v>
      </c>
      <c r="T4" s="70">
        <v>44986</v>
      </c>
    </row>
    <row r="5" spans="1:27" s="47" customFormat="1" ht="30" hidden="1" x14ac:dyDescent="0.25">
      <c r="A5" s="48"/>
      <c r="D5" s="48"/>
      <c r="E5" s="48" t="s">
        <v>329</v>
      </c>
      <c r="F5" s="48"/>
      <c r="G5" s="48"/>
      <c r="I5" s="47" t="s">
        <v>373</v>
      </c>
      <c r="J5" s="47" t="s">
        <v>358</v>
      </c>
      <c r="K5" s="47" t="s">
        <v>340</v>
      </c>
      <c r="L5" s="47" t="s">
        <v>359</v>
      </c>
      <c r="M5" s="47" t="s">
        <v>360</v>
      </c>
      <c r="N5" s="47" t="s">
        <v>341</v>
      </c>
      <c r="O5" s="47" t="s">
        <v>361</v>
      </c>
      <c r="P5" s="47" t="s">
        <v>362</v>
      </c>
      <c r="Q5" s="47" t="s">
        <v>342</v>
      </c>
      <c r="R5" s="47" t="s">
        <v>363</v>
      </c>
      <c r="S5" s="47" t="s">
        <v>364</v>
      </c>
      <c r="T5" s="47" t="s">
        <v>343</v>
      </c>
    </row>
    <row r="6" spans="1:27" s="47" customFormat="1" ht="45" hidden="1" x14ac:dyDescent="0.25">
      <c r="A6" s="48"/>
      <c r="D6" s="48"/>
      <c r="E6" s="48" t="s">
        <v>330</v>
      </c>
      <c r="F6" s="48"/>
      <c r="G6" s="48"/>
      <c r="I6" s="47" t="s">
        <v>373</v>
      </c>
      <c r="J6" s="47" t="s">
        <v>358</v>
      </c>
      <c r="K6" s="47" t="s">
        <v>340</v>
      </c>
      <c r="L6" s="47" t="s">
        <v>359</v>
      </c>
      <c r="M6" s="47" t="s">
        <v>360</v>
      </c>
      <c r="N6" s="47" t="s">
        <v>341</v>
      </c>
      <c r="O6" s="47" t="s">
        <v>361</v>
      </c>
      <c r="P6" s="47" t="s">
        <v>362</v>
      </c>
      <c r="Q6" s="47" t="s">
        <v>342</v>
      </c>
      <c r="R6" s="47" t="s">
        <v>363</v>
      </c>
      <c r="S6" s="47" t="s">
        <v>364</v>
      </c>
      <c r="T6" s="47" t="s">
        <v>343</v>
      </c>
    </row>
    <row r="7" spans="1:27" ht="30" x14ac:dyDescent="0.25">
      <c r="A7" s="57" t="s">
        <v>331</v>
      </c>
      <c r="B7" s="57" t="s">
        <v>220</v>
      </c>
      <c r="C7" s="57" t="s">
        <v>1</v>
      </c>
      <c r="D7" s="57" t="s">
        <v>0</v>
      </c>
      <c r="E7" s="57" t="s">
        <v>223</v>
      </c>
      <c r="F7" s="57" t="s">
        <v>332</v>
      </c>
      <c r="G7" s="57" t="s">
        <v>356</v>
      </c>
      <c r="H7" s="58" t="s">
        <v>357</v>
      </c>
      <c r="I7" s="59">
        <v>46023</v>
      </c>
      <c r="J7" s="59">
        <v>46054</v>
      </c>
      <c r="K7" s="59">
        <v>46082</v>
      </c>
      <c r="L7" s="59">
        <v>46113</v>
      </c>
      <c r="M7" s="59">
        <v>46143</v>
      </c>
      <c r="N7" s="59">
        <v>46174</v>
      </c>
      <c r="O7" s="59">
        <v>46204</v>
      </c>
      <c r="P7" s="59">
        <v>46235</v>
      </c>
      <c r="Q7" s="59">
        <v>46266</v>
      </c>
      <c r="R7" s="59">
        <v>46296</v>
      </c>
      <c r="S7" s="59">
        <v>46327</v>
      </c>
      <c r="T7" s="59">
        <v>46357</v>
      </c>
      <c r="U7" s="60" t="s">
        <v>334</v>
      </c>
    </row>
    <row r="8" spans="1:27" ht="30" x14ac:dyDescent="0.25">
      <c r="A8" s="95" t="s">
        <v>883</v>
      </c>
      <c r="B8" s="61" t="s">
        <v>168</v>
      </c>
      <c r="C8" s="61" t="s">
        <v>884</v>
      </c>
      <c r="D8" s="41" t="s">
        <v>62</v>
      </c>
      <c r="E8" s="41" t="s">
        <v>243</v>
      </c>
      <c r="F8" s="41"/>
      <c r="G8" s="41"/>
      <c r="H8" s="71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61"/>
      <c r="V8" s="72" t="s">
        <v>64</v>
      </c>
      <c r="W8" s="10" t="s">
        <v>266</v>
      </c>
      <c r="Z8" s="6" t="e">
        <f>_xlfn.XLOOKUP($B8,#REF!,#REF!,"-",0)</f>
        <v>#REF!</v>
      </c>
      <c r="AA8" s="10">
        <f>IF(G8&gt;0,1,IF(G8&lt;0,-1,0))</f>
        <v>0</v>
      </c>
    </row>
    <row r="9" spans="1:27" x14ac:dyDescent="0.25">
      <c r="A9" s="95"/>
      <c r="B9" s="61"/>
      <c r="C9" s="61"/>
      <c r="D9" s="41"/>
      <c r="E9" s="41"/>
      <c r="F9" s="41"/>
      <c r="G9" s="41"/>
      <c r="H9" s="71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61"/>
      <c r="V9" s="72"/>
    </row>
    <row r="10" spans="1:27" x14ac:dyDescent="0.25">
      <c r="A10" s="101"/>
      <c r="B10" s="101" t="s">
        <v>141</v>
      </c>
      <c r="C10" s="101" t="s">
        <v>141</v>
      </c>
      <c r="D10" s="101" t="s">
        <v>141</v>
      </c>
      <c r="E10" s="101" t="s">
        <v>141</v>
      </c>
      <c r="F10" s="101" t="s">
        <v>141</v>
      </c>
      <c r="G10" s="101" t="s">
        <v>141</v>
      </c>
      <c r="H10" s="101" t="s">
        <v>141</v>
      </c>
      <c r="I10" s="101" t="s">
        <v>141</v>
      </c>
      <c r="J10" s="101" t="s">
        <v>141</v>
      </c>
      <c r="K10" s="101" t="s">
        <v>141</v>
      </c>
      <c r="L10" s="101" t="s">
        <v>141</v>
      </c>
      <c r="M10" s="101" t="s">
        <v>141</v>
      </c>
      <c r="N10" s="101" t="s">
        <v>141</v>
      </c>
      <c r="O10" s="101" t="s">
        <v>141</v>
      </c>
      <c r="P10" s="101" t="s">
        <v>141</v>
      </c>
      <c r="Q10" s="101" t="s">
        <v>141</v>
      </c>
      <c r="R10" s="101" t="s">
        <v>141</v>
      </c>
      <c r="S10" s="101" t="s">
        <v>141</v>
      </c>
      <c r="T10" s="101" t="s">
        <v>141</v>
      </c>
      <c r="U10" s="101" t="s">
        <v>141</v>
      </c>
      <c r="V10" s="101" t="s">
        <v>141</v>
      </c>
      <c r="W10" s="101" t="s">
        <v>141</v>
      </c>
    </row>
    <row r="11" spans="1:27" x14ac:dyDescent="0.25">
      <c r="A11" s="10"/>
    </row>
    <row r="12" spans="1:27" x14ac:dyDescent="0.25">
      <c r="A12" s="10"/>
      <c r="H12" s="38"/>
      <c r="U12" s="38"/>
    </row>
    <row r="13" spans="1:27" x14ac:dyDescent="0.25">
      <c r="A13" s="10"/>
      <c r="H13" s="38"/>
      <c r="O13" s="38"/>
      <c r="P13" s="38"/>
      <c r="Q13" s="38"/>
      <c r="R13" s="38"/>
      <c r="S13" s="38"/>
      <c r="T13" s="38"/>
      <c r="U13" s="38"/>
    </row>
    <row r="14" spans="1:27" x14ac:dyDescent="0.25">
      <c r="A14" s="10"/>
      <c r="H14" s="38"/>
      <c r="O14" s="38"/>
      <c r="P14" s="38"/>
      <c r="Q14" s="38"/>
      <c r="R14" s="38"/>
      <c r="S14" s="38"/>
      <c r="T14" s="38"/>
      <c r="U14" s="38"/>
    </row>
    <row r="15" spans="1:27" x14ac:dyDescent="0.25">
      <c r="A15" s="10"/>
    </row>
    <row r="16" spans="1:27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</sheetData>
  <autoFilter ref="A7:W12" xr:uid="{00000000-0001-0000-2700-000000000000}"/>
  <conditionalFormatting sqref="H2:T6 H7 H8:T9 V8:V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Sheet8</vt:lpstr>
      <vt:lpstr>EN,NN,New Logo-CW</vt:lpstr>
      <vt:lpstr>Unfulfilled Allocation - CW</vt:lpstr>
      <vt:lpstr>EN,NN,NewLogo Under discussions</vt:lpstr>
      <vt:lpstr>Actual Changes-Signed</vt:lpstr>
      <vt:lpstr>Actual Changes-Extensions</vt:lpstr>
      <vt:lpstr>Goal</vt:lpstr>
      <vt:lpstr>Actual changes-EN,NN,New Logo</vt:lpstr>
      <vt:lpstr>Actual changes- Unfulfilled</vt:lpstr>
      <vt:lpstr>'Actual Changes-Signed'!SBU_AC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Atal</dc:creator>
  <cp:lastModifiedBy>Kshitija Ketkar</cp:lastModifiedBy>
  <dcterms:created xsi:type="dcterms:W3CDTF">2025-04-17T07:02:56Z</dcterms:created>
  <dcterms:modified xsi:type="dcterms:W3CDTF">2026-04-07T07:42:11Z</dcterms:modified>
</cp:coreProperties>
</file>